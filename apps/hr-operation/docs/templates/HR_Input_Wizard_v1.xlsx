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_DAU" sheetId="1" state="visible" r:id="rId1"/>
    <sheet name="01_HO_SO" sheetId="2" state="visible" r:id="rId2"/>
    <sheet name="02_CONG_VIEC" sheetId="3" state="visible" r:id="rId3"/>
    <sheet name="03_KIEM_TRA" sheetId="4" state="visible" r:id="rId4"/>
    <sheet name="DANH_MUC" sheetId="5" state="visible" r:id="rId5"/>
    <sheet name="SYS_META" sheetId="6" state="veryHidden" r:id="rId6"/>
  </sheets>
  <definedNames>
    <definedName name="dm_employment_status">'DANH_MUC'!$A$4:INDEX('DANH_MUC'!$A:$A,MAX(4,COUNTA('DANH_MUC'!$A:$A)+1))</definedName>
    <definedName name="dm_gender">'DANH_MUC'!$B$4:INDEX('DANH_MUC'!$B:$B,MAX(4,COUNTA('DANH_MUC'!$B:$B)+1))</definedName>
    <definedName name="dm_job_vi">'DANH_MUC'!$C$4:INDEX('DANH_MUC'!$C:$C,MAX(4,COUNTA('DANH_MUC'!$C:$C)+1))</definedName>
    <definedName name="dm_job_en">'DANH_MUC'!$D$4:INDEX('DANH_MUC'!$D:$D,MAX(4,COUNTA('DANH_MUC'!$D:$D)+1))</definedName>
    <definedName name="dm_department">'DANH_MUC'!$E$4:INDEX('DANH_MUC'!$E:$E,MAX(4,COUNTA('DANH_MUC'!$E:$E)+1))</definedName>
    <definedName name="dm_team">'DANH_MUC'!$F$4:INDEX('DANH_MUC'!$F:$F,MAX(4,COUNTA('DANH_MUC'!$F:$F)+1))</definedName>
    <definedName name="dm_branch">'DANH_MUC'!$G$4:INDEX('DANH_MUC'!$G:$G,MAX(4,COUNTA('DANH_MUC'!$G:$G)+1))</definedName>
    <definedName name="dm_grade">'DANH_MUC'!$H$4:INDEX('DANH_MUC'!$H:$H,MAX(4,COUNTA('DANH_MUC'!$H:$H)+1))</definedName>
    <definedName name="dm_level">'DANH_MUC'!$I$4:INDEX('DANH_MUC'!$I:$I,MAX(4,COUNTA('DANH_MUC'!$I:$I)+1))</definedName>
    <definedName name="_xlnm._FilterDatabase" localSheetId="1" hidden="1">'01_HO_SO'!$A$5:$K$505</definedName>
    <definedName name="_xlnm._FilterDatabase" localSheetId="2" hidden="1">'02_CONG_VIEC'!$A$5:$O$505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 &quot;₫&quot;"/>
  </numFmts>
  <fonts count="15">
    <font>
      <name val="Calibri"/>
      <family val="2"/>
      <color theme="1"/>
      <sz val="11"/>
      <scheme val="minor"/>
    </font>
    <font>
      <b val="1"/>
      <color rgb="00FFFFFF"/>
      <sz val="24"/>
    </font>
    <font>
      <color rgb="00475569"/>
      <sz val="11"/>
    </font>
    <font>
      <b val="1"/>
      <color rgb="004F46E5"/>
      <sz val="10"/>
    </font>
    <font>
      <b val="1"/>
      <color rgb="00172554"/>
      <sz val="13"/>
    </font>
    <font>
      <name val="Calibri"/>
      <family val="2"/>
      <color theme="10"/>
      <sz val="12"/>
      <scheme val="minor"/>
    </font>
    <font>
      <color rgb="00475569"/>
      <sz val="9"/>
    </font>
    <font>
      <b val="1"/>
      <color rgb="00FFFFFF"/>
    </font>
    <font>
      <color rgb="00475569"/>
      <sz val="10"/>
    </font>
    <font>
      <i val="1"/>
      <color rgb="00B45309"/>
      <sz val="9"/>
    </font>
    <font>
      <b val="1"/>
      <color rgb="00FFFFFF"/>
      <sz val="20"/>
    </font>
    <font>
      <b val="1"/>
      <color rgb="00FFFFFF"/>
      <sz val="9"/>
    </font>
    <font>
      <b val="1"/>
      <color rgb="00FFFFFF"/>
      <sz val="14"/>
    </font>
    <font>
      <b val="1"/>
      <color rgb="00FFFFFF"/>
      <sz val="18"/>
    </font>
    <font>
      <i val="1"/>
      <color rgb="00475569"/>
      <sz val="9"/>
    </font>
  </fonts>
  <fills count="7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EEF2FF"/>
      </patternFill>
    </fill>
    <fill>
      <patternFill patternType="solid">
        <fgColor rgb="004F46E5"/>
      </patternFill>
    </fill>
    <fill>
      <patternFill patternType="solid">
        <fgColor rgb="00F8FAFC"/>
      </patternFill>
    </fill>
    <fill>
      <patternFill patternType="solid">
        <fgColor rgb="00FFFDF2"/>
      </patternFill>
    </fill>
  </fills>
  <borders count="22">
    <border>
      <left/>
      <right/>
      <top/>
      <bottom/>
      <diagonal/>
    </border>
    <border>
      <left style="medium">
        <color rgb="004F46E5"/>
      </left>
      <right>
        <color rgb="004F46E5"/>
      </right>
      <top style="medium">
        <color rgb="004F46E5"/>
      </top>
      <bottom>
        <color rgb="004F46E5"/>
      </bottom>
    </border>
    <border>
      <left>
        <color rgb="004F46E5"/>
      </left>
      <right>
        <color rgb="004F46E5"/>
      </right>
      <top style="medium">
        <color rgb="004F46E5"/>
      </top>
      <bottom>
        <color rgb="004F46E5"/>
      </bottom>
    </border>
    <border>
      <left>
        <color rgb="004F46E5"/>
      </left>
      <right style="medium">
        <color rgb="004F46E5"/>
      </right>
      <top style="medium">
        <color rgb="004F46E5"/>
      </top>
      <bottom>
        <color rgb="004F46E5"/>
      </bottom>
    </border>
    <border>
      <left style="medium">
        <color rgb="004F46E5"/>
      </left>
      <right>
        <color rgb="004F46E5"/>
      </right>
      <top>
        <color rgb="004F46E5"/>
      </top>
      <bottom>
        <color rgb="004F46E5"/>
      </bottom>
    </border>
    <border>
      <left>
        <color rgb="004F46E5"/>
      </left>
      <right>
        <color rgb="004F46E5"/>
      </right>
      <top>
        <color rgb="004F46E5"/>
      </top>
      <bottom>
        <color rgb="004F46E5"/>
      </bottom>
    </border>
    <border>
      <left>
        <color rgb="004F46E5"/>
      </left>
      <right style="medium">
        <color rgb="004F46E5"/>
      </right>
      <top>
        <color rgb="004F46E5"/>
      </top>
      <bottom>
        <color rgb="004F46E5"/>
      </bottom>
    </border>
    <border>
      <left style="medium">
        <color rgb="004F46E5"/>
      </left>
      <right>
        <color rgb="004F46E5"/>
      </right>
      <top>
        <color rgb="004F46E5"/>
      </top>
      <bottom style="medium">
        <color rgb="004F46E5"/>
      </bottom>
    </border>
    <border>
      <left>
        <color rgb="004F46E5"/>
      </left>
      <right>
        <color rgb="004F46E5"/>
      </right>
      <top>
        <color rgb="004F46E5"/>
      </top>
      <bottom style="medium">
        <color rgb="004F46E5"/>
      </bottom>
    </border>
    <border>
      <left>
        <color rgb="004F46E5"/>
      </left>
      <right style="medium">
        <color rgb="004F46E5"/>
      </right>
      <top>
        <color rgb="004F46E5"/>
      </top>
      <bottom style="medium">
        <color rgb="004F46E5"/>
      </bottom>
    </border>
    <border>
      <left style="medium">
        <color rgb="004F46E5"/>
      </left>
      <right style="medium">
        <color rgb="004F46E5"/>
      </right>
      <top style="medium">
        <color rgb="004F46E5"/>
      </top>
      <bottom>
        <color rgb="004F46E5"/>
      </bottom>
    </border>
    <border>
      <left/>
      <right/>
      <top style="medium">
        <color rgb="004F46E5"/>
      </top>
      <bottom/>
      <diagonal/>
    </border>
    <border>
      <left/>
      <right style="medium">
        <color rgb="004F46E5"/>
      </right>
      <top style="medium">
        <color rgb="004F46E5"/>
      </top>
      <bottom/>
      <diagonal/>
    </border>
    <border>
      <left style="medium">
        <color rgb="004F46E5"/>
      </left>
      <right style="medium">
        <color rgb="004F46E5"/>
      </right>
      <top>
        <color rgb="004F46E5"/>
      </top>
      <bottom>
        <color rgb="004F46E5"/>
      </bottom>
    </border>
    <border>
      <left/>
      <right style="medium">
        <color rgb="004F46E5"/>
      </right>
      <top/>
      <bottom/>
      <diagonal/>
    </border>
    <border>
      <left style="medium">
        <color rgb="004F46E5"/>
      </left>
      <right style="medium">
        <color rgb="004F46E5"/>
      </right>
      <top>
        <color rgb="004F46E5"/>
      </top>
      <bottom style="medium">
        <color rgb="004F46E5"/>
      </bottom>
    </border>
    <border>
      <left style="medium">
        <color rgb="004F46E5"/>
      </left>
      <right/>
      <top/>
      <bottom/>
      <diagonal/>
    </border>
    <border>
      <left style="medium">
        <color rgb="004F46E5"/>
      </left>
      <right/>
      <top/>
      <bottom style="medium">
        <color rgb="004F46E5"/>
      </bottom>
      <diagonal/>
    </border>
    <border>
      <left/>
      <right/>
      <top/>
      <bottom style="medium">
        <color rgb="004F46E5"/>
      </bottom>
      <diagonal/>
    </border>
    <border>
      <left/>
      <right style="medium">
        <color rgb="004F46E5"/>
      </right>
      <top/>
      <bottom style="medium">
        <color rgb="004F46E5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</borders>
  <cellStyleXfs count="2">
    <xf numFmtId="0" fontId="0" fillId="0" borderId="0"/>
    <xf numFmtId="0" fontId="5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0" borderId="0" pivotButton="0" quotePrefix="0" xfId="1"/>
    <xf numFmtId="0" fontId="0" fillId="0" borderId="14" pivotButton="0" quotePrefix="0" xfId="0"/>
    <xf numFmtId="0" fontId="6" fillId="3" borderId="15" applyAlignment="1" pivotButton="0" quotePrefix="0" xfId="0">
      <alignment vertical="top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7" fillId="4" borderId="0" pivotButton="0" quotePrefix="0" xfId="0"/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2" borderId="2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top" wrapText="1"/>
    </xf>
    <xf numFmtId="49" fontId="6" fillId="6" borderId="0" applyAlignment="1" applyProtection="1" pivotButton="0" quotePrefix="0" xfId="0">
      <alignment vertical="top"/>
      <protection locked="0" hidden="0"/>
    </xf>
    <xf numFmtId="0" fontId="6" fillId="6" borderId="0" applyAlignment="1" applyProtection="1" pivotButton="0" quotePrefix="0" xfId="0">
      <alignment vertical="top"/>
      <protection locked="0" hidden="0"/>
    </xf>
    <xf numFmtId="164" fontId="6" fillId="6" borderId="0" applyAlignment="1" applyProtection="1" pivotButton="0" quotePrefix="0" xfId="0">
      <alignment vertical="top"/>
      <protection locked="0" hidden="0"/>
    </xf>
    <xf numFmtId="165" fontId="6" fillId="6" borderId="0" applyAlignment="1" applyProtection="1" pivotButton="0" quotePrefix="0" xfId="0">
      <alignment vertical="top"/>
      <protection locked="0" hidden="0"/>
    </xf>
    <xf numFmtId="0" fontId="7" fillId="2" borderId="0" applyAlignment="1" pivotButton="0" quotePrefix="0" xfId="0">
      <alignment horizontal="center"/>
    </xf>
    <xf numFmtId="0" fontId="0" fillId="0" borderId="21" applyAlignment="1" pivotButton="0" quotePrefix="0" xfId="0">
      <alignment horizontal="left"/>
    </xf>
    <xf numFmtId="0" fontId="0" fillId="0" borderId="21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13" fillId="2" borderId="0" pivotButton="0" quotePrefix="0" xfId="0"/>
    <xf numFmtId="0" fontId="14" fillId="0" borderId="0" pivotButton="0" quotePrefix="0" xfId="0"/>
    <xf numFmtId="0" fontId="7" fillId="4" borderId="0" applyAlignment="1" pivotButton="0" quotePrefix="0" xfId="0">
      <alignment horizontal="center" wrapText="1"/>
    </xf>
    <xf numFmtId="0" fontId="0" fillId="6" borderId="0" applyProtection="1" pivotButton="0" quotePrefix="0" xfId="0">
      <protection locked="0" hidden="0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FEE2E2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047857"/>
        </patternFill>
      </fill>
    </dxf>
    <dxf>
      <fill>
        <patternFill patternType="solid">
          <fgColor rgb="00B91C1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Chất lượng dữ liệu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'03_KIEM_TRA'!C5</f>
            </strRef>
          </tx>
          <spPr>
            <a:ln>
              <a:prstDash val="solid"/>
            </a:ln>
          </spPr>
          <cat>
            <numRef>
              <f>'03_KIEM_TRA'!$B$6:$B$8</f>
            </numRef>
          </cat>
          <val>
            <numRef>
              <f>'03_KIEM_TRA'!$C$6:$C$8</f>
            </numRef>
          </val>
        </ser>
        <ser>
          <idx val="1"/>
          <order val="1"/>
          <tx>
            <strRef>
              <f>'03_KIEM_TRA'!D5</f>
            </strRef>
          </tx>
          <spPr>
            <a:ln>
              <a:prstDash val="solid"/>
            </a:ln>
          </spPr>
          <cat>
            <numRef>
              <f>'03_KIEM_TRA'!$B$6:$B$8</f>
            </numRef>
          </cat>
          <val>
            <numRef>
              <f>'03_KIEM_TRA'!$D$6:$D$8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Số dòng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C5" authorId="0" shapeId="0">
      <text>
        <t>Khóa nghiệp vụ của nhân viên. Pipeline giữ nguyên phần hiển thị và dùng khóa chuẩn hóa riêng để đối chiếu 00001 với 1.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employee_profile" displayName="tbl_hr_employee_profile" ref="A5:K505" headerRowCount="1">
  <autoFilter ref="A5:K505"/>
  <tableColumns count="11">
    <tableColumn id="1" name="Trạng thái kiểm tra"/>
    <tableColumn id="2" name="Lỗi dữ liệu"/>
    <tableColumn id="3" name="Mã nhân viên"/>
    <tableColumn id="4" name="Họ và tên"/>
    <tableColumn id="5" name="Ngày sinh"/>
    <tableColumn id="6" name="Giới tính"/>
    <tableColumn id="7" name="Email cá nhân"/>
    <tableColumn id="8" name="Email công ty"/>
    <tableColumn id="9" name="Số điện thoại"/>
    <tableColumn id="10" name="Địa chỉ hiện tại"/>
    <tableColumn id="11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hr_employment_assignment" displayName="tbl_hr_employment_assignment" ref="A5:O505" headerRowCount="1">
  <autoFilter ref="A5:O505"/>
  <tableColumns count="15">
    <tableColumn id="1" name="Trạng thái kiểm tra"/>
    <tableColumn id="2" name="Lỗi dữ liệu"/>
    <tableColumn id="3" name="Mã nhân viên"/>
    <tableColumn id="4" name="Trạng thái làm việc"/>
    <tableColumn id="5" name="Ngày vào công ty"/>
    <tableColumn id="6" name="Chi nhánh"/>
    <tableColumn id="7" name="Phòng ban"/>
    <tableColumn id="8" name="Bộ phận"/>
    <tableColumn id="9" name="Chức danh (VI)"/>
    <tableColumn id="10" name="Position (EN)"/>
    <tableColumn id="11" name="Ngạch"/>
    <tableColumn id="12" name="Cấp bậc"/>
    <tableColumn id="13" name="Mã quản lý trực tiếp"/>
    <tableColumn id="14" name="Lương cơ bản"/>
    <tableColumn id="15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HO_SO'!A1" TargetMode="External" Id="rId1" /><Relationship Type="http://schemas.openxmlformats.org/officeDocument/2006/relationships/hyperlink" Target="#'02_CONG_VIEC'!A1" TargetMode="External" Id="rId2" /><Relationship Type="http://schemas.openxmlformats.org/officeDocument/2006/relationships/hyperlink" Target="#'03_KIEM_TRA'!A1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01_HO_SO'!A1" TargetMode="External" Id="rId1" /><Relationship Type="http://schemas.openxmlformats.org/officeDocument/2006/relationships/hyperlink" Target="#'02_CONG_VIEC'!A1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1" t="inlineStr">
        <is>
          <t>HR DATA INPUT WIZARD</t>
        </is>
      </c>
    </row>
    <row r="3"/>
    <row r="4">
      <c r="B4" s="2" t="inlineStr">
        <is>
          <t>Form chuẩn cho pipeline SharePoint ↔ HR App · Phiên bản 1.0</t>
        </is>
      </c>
    </row>
    <row r="6">
      <c r="B6" s="3" t="inlineStr">
        <is>
          <t>Bước 1</t>
        </is>
      </c>
      <c r="C6" s="4" t="n"/>
      <c r="D6" s="4" t="n"/>
      <c r="E6" s="5" t="n"/>
      <c r="G6" s="3" t="inlineStr">
        <is>
          <t>Bước 2</t>
        </is>
      </c>
      <c r="H6" s="4" t="n"/>
      <c r="I6" s="4" t="n"/>
      <c r="J6" s="5" t="n"/>
      <c r="L6" s="3" t="inlineStr">
        <is>
          <t>Bước 3</t>
        </is>
      </c>
      <c r="M6" s="4" t="n"/>
      <c r="N6" s="4" t="n"/>
      <c r="O6" s="5" t="n"/>
    </row>
    <row r="7">
      <c r="B7" s="6" t="inlineStr">
        <is>
          <t>Nhập hồ sơ nhân sự</t>
        </is>
      </c>
      <c r="E7" s="7" t="n"/>
      <c r="G7" s="6" t="inlineStr">
        <is>
          <t>Nhập thông tin công việc</t>
        </is>
      </c>
      <c r="J7" s="7" t="n"/>
      <c r="L7" s="6" t="inlineStr">
        <is>
          <t>Kiểm tra chất lượng</t>
        </is>
      </c>
      <c r="O7" s="7" t="n"/>
    </row>
    <row r="8">
      <c r="B8" s="8" t="inlineStr">
        <is>
          <t>Mã, họ tên, liên hệ và thông tin cơ bản</t>
        </is>
      </c>
      <c r="E8" s="7" t="n"/>
      <c r="G8" s="8" t="inlineStr">
        <is>
          <t>Phòng ban, chức danh, quản lý và lương</t>
        </is>
      </c>
      <c r="J8" s="7" t="n"/>
      <c r="L8" s="8" t="inlineStr">
        <is>
          <t>Sửa toàn bộ lỗi trước khi đưa lên SharePoint</t>
        </is>
      </c>
      <c r="O8" s="7" t="n"/>
    </row>
    <row r="9">
      <c r="B9" s="9" t="n"/>
      <c r="E9" s="7" t="n"/>
      <c r="G9" s="9" t="n"/>
      <c r="J9" s="7" t="n"/>
      <c r="L9" s="9" t="n"/>
      <c r="O9" s="7" t="n"/>
    </row>
    <row r="10">
      <c r="B10" s="10" t="n"/>
      <c r="C10" s="11" t="n"/>
      <c r="D10" s="11" t="n"/>
      <c r="E10" s="12" t="n"/>
      <c r="G10" s="10" t="n"/>
      <c r="H10" s="11" t="n"/>
      <c r="I10" s="11" t="n"/>
      <c r="J10" s="12" t="n"/>
      <c r="L10" s="10" t="n"/>
      <c r="M10" s="11" t="n"/>
      <c r="N10" s="11" t="n"/>
      <c r="O10" s="12" t="n"/>
    </row>
    <row r="13">
      <c r="B13" s="13" t="inlineStr">
        <is>
          <t>QUY TẮC QUAN TRỌNG</t>
        </is>
      </c>
    </row>
    <row r="14">
      <c r="B14" s="14" t="inlineStr">
        <is>
          <t>1. Giữ Mã nhân viên dưới dạng text; mã 00001 không được đổi thành 1.</t>
        </is>
      </c>
    </row>
    <row r="15">
      <c r="B15" s="14" t="inlineStr">
        <is>
          <t>2. Chỉ nhập vào ô màu vàng nhạt. Ô xám là công thức kiểm tra và đã được khóa.</t>
        </is>
      </c>
    </row>
    <row r="16">
      <c r="B16" s="14" t="inlineStr">
        <is>
          <t>3. Dùng danh sách chọn cho trạng thái, giới tính, phòng ban, bộ phận, chức danh và chi nhánh.</t>
        </is>
      </c>
    </row>
    <row r="17">
      <c r="B17" s="14" t="inlineStr">
        <is>
          <t>4. Không xóa/đổi tên sheet, tiêu đề cột hoặc Excel Table; pipeline dùng các định danh này.</t>
        </is>
      </c>
    </row>
    <row r="18">
      <c r="B18" s="14" t="inlineStr">
        <is>
          <t>5. Chỉ đưa file lên SharePoint khi trang 03_KIEM_TRA hiển thị SẴN SÀNG.</t>
        </is>
      </c>
    </row>
    <row r="21">
      <c r="B21" s="15" t="inlineStr">
        <is>
          <t>Danh mục có thể chỉnh tại sheet DANH_MUC. Các công thức kiểm tra chỉ nhằm đảm bảo chất lượng nhập liệu; quyền truy cập dữ liệu nhạy cảm vẫn do HR App và RLS kiểm soát.</t>
        </is>
      </c>
    </row>
  </sheetData>
  <mergeCells count="18">
    <mergeCell ref="B17:O17"/>
    <mergeCell ref="G6:J6"/>
    <mergeCell ref="B13:O13"/>
    <mergeCell ref="B18:O18"/>
    <mergeCell ref="B4:O4"/>
    <mergeCell ref="B21:O21"/>
    <mergeCell ref="L8:O10"/>
    <mergeCell ref="B6:E6"/>
    <mergeCell ref="B16:O16"/>
    <mergeCell ref="B15:O15"/>
    <mergeCell ref="B2:O3"/>
    <mergeCell ref="B7:E7"/>
    <mergeCell ref="B8:E10"/>
    <mergeCell ref="G7:J7"/>
    <mergeCell ref="L6:O6"/>
    <mergeCell ref="G8:J10"/>
    <mergeCell ref="L7:O7"/>
    <mergeCell ref="B14:O14"/>
  </mergeCells>
  <hyperlinks>
    <hyperlink xmlns:r="http://schemas.openxmlformats.org/officeDocument/2006/relationships" ref="B7" r:id="rId1"/>
    <hyperlink xmlns:r="http://schemas.openxmlformats.org/officeDocument/2006/relationships" ref="G7" r:id="rId2"/>
    <hyperlink xmlns:r="http://schemas.openxmlformats.org/officeDocument/2006/relationships" ref="L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5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28" customWidth="1" min="4" max="4"/>
    <col width="14" customWidth="1" min="5" max="5"/>
    <col width="12" customWidth="1" min="6" max="6"/>
    <col width="28" customWidth="1" min="7" max="7"/>
    <col width="28" customWidth="1" min="8" max="8"/>
    <col width="17" customWidth="1" min="9" max="9"/>
    <col width="42" customWidth="1" min="10" max="10"/>
    <col width="36" customWidth="1" min="11" max="11"/>
  </cols>
  <sheetData>
    <row r="1" ht="34" customHeight="1">
      <c r="A1" s="16" t="inlineStr">
        <is>
          <t>BƯỚC 1 · HỒ SƠ NHÂN SỰ</t>
        </is>
      </c>
    </row>
    <row r="2" ht="24" customHeight="1">
      <c r="A2" s="17" t="inlineStr">
        <is>
          <t>Nhập một dòng cho mỗi nhân viên. Ô vàng là vùng nhập; cột trạng thái/lỗi được tính tự động.</t>
        </is>
      </c>
    </row>
    <row r="5" ht="42" customHeight="1">
      <c r="A5" s="18" t="inlineStr">
        <is>
          <t>Trạng thái kiểm tra</t>
        </is>
      </c>
      <c r="B5" s="18" t="inlineStr">
        <is>
          <t>Lỗi dữ liệu</t>
        </is>
      </c>
      <c r="C5" s="18" t="inlineStr">
        <is>
          <t>Mã nhân viên</t>
        </is>
      </c>
      <c r="D5" s="18" t="inlineStr">
        <is>
          <t>Họ và tên</t>
        </is>
      </c>
      <c r="E5" s="18" t="inlineStr">
        <is>
          <t>Ngày sinh</t>
        </is>
      </c>
      <c r="F5" s="18" t="inlineStr">
        <is>
          <t>Giới tính</t>
        </is>
      </c>
      <c r="G5" s="18" t="inlineStr">
        <is>
          <t>Email cá nhân</t>
        </is>
      </c>
      <c r="H5" s="18" t="inlineStr">
        <is>
          <t>Email công ty</t>
        </is>
      </c>
      <c r="I5" s="18" t="inlineStr">
        <is>
          <t>Số điện thoại</t>
        </is>
      </c>
      <c r="J5" s="18" t="inlineStr">
        <is>
          <t>Địa chỉ hiện tại</t>
        </is>
      </c>
      <c r="K5" s="18" t="inlineStr">
        <is>
          <t>Ghi chú</t>
        </is>
      </c>
    </row>
    <row r="6">
      <c r="A6" s="19">
        <f>IF($C6="","CHƯA NHẬP",IF($B6="","HỢP LỆ","LỖI"))</f>
        <v/>
      </c>
      <c r="B6" s="19">
        <f>IF($C6="","",TEXTJOIN(" | ",TRUE,IF($C6="","Thiếu mã nhân viên",""),IF(COUNTIF($C$6:$C$505,$C6)&gt;1,"Trùng mã nhân viên",""),IF($D6="","Thiếu họ tên",""),IF(AND($E6&lt;&gt;"",OR(NOT(ISNUMBER($E6)),$E6&lt;DATE(1940,1,1),$E6&gt;TODAY())),"Ngày sinh không hợp lệ",""),IF(AND($G6&lt;&gt;"",OR(ISERROR(SEARCH("@",$G6)),ISERROR(SEARCH(".",$G6)))),"Email cá nhân không hợp lệ",""),IF(AND($H6&lt;&gt;"",OR(ISERROR(SEARCH("@",$H6)),ISERROR(SEARCH(".",$H6)))),"Email công ty không hợp lệ",""),IF(AND($I6&lt;&gt;"",OR(LEN($I6)&lt;9,LEN($I6)&gt;15,NOT(ISNUMBER(--$I6)))),"Số điện thoại không hợp lệ","")))</f>
        <v/>
      </c>
      <c r="C6" s="20" t="n"/>
      <c r="D6" s="21" t="n"/>
      <c r="E6" s="22" t="n"/>
      <c r="F6" s="21" t="n"/>
      <c r="G6" s="21" t="n"/>
      <c r="H6" s="21" t="n"/>
      <c r="I6" s="20" t="n"/>
      <c r="J6" s="21" t="n"/>
      <c r="K6" s="21" t="n"/>
    </row>
    <row r="7">
      <c r="A7" s="19">
        <f>IF($C7="","CHƯA NHẬP",IF($B7="","HỢP LỆ","LỖI"))</f>
        <v/>
      </c>
      <c r="B7" s="19">
        <f>IF($C7="","",TEXTJOIN(" | ",TRUE,IF($C7="","Thiếu mã nhân viên",""),IF(COUNTIF($C$6:$C$505,$C7)&gt;1,"Trùng mã nhân viên",""),IF($D7="","Thiếu họ tên",""),IF(AND($E7&lt;&gt;"",OR(NOT(ISNUMBER($E7)),$E7&lt;DATE(1940,1,1),$E7&gt;TODAY())),"Ngày sinh không hợp lệ",""),IF(AND($G7&lt;&gt;"",OR(ISERROR(SEARCH("@",$G7)),ISERROR(SEARCH(".",$G7)))),"Email cá nhân không hợp lệ",""),IF(AND($H7&lt;&gt;"",OR(ISERROR(SEARCH("@",$H7)),ISERROR(SEARCH(".",$H7)))),"Email công ty không hợp lệ",""),IF(AND($I7&lt;&gt;"",OR(LEN($I7)&lt;9,LEN($I7)&gt;15,NOT(ISNUMBER(--$I7)))),"Số điện thoại không hợp lệ","")))</f>
        <v/>
      </c>
      <c r="C7" s="20" t="n"/>
      <c r="D7" s="21" t="n"/>
      <c r="E7" s="22" t="n"/>
      <c r="F7" s="21" t="n"/>
      <c r="G7" s="21" t="n"/>
      <c r="H7" s="21" t="n"/>
      <c r="I7" s="20" t="n"/>
      <c r="J7" s="21" t="n"/>
      <c r="K7" s="21" t="n"/>
    </row>
    <row r="8">
      <c r="A8" s="19">
        <f>IF($C8="","CHƯA NHẬP",IF($B8="","HỢP LỆ","LỖI"))</f>
        <v/>
      </c>
      <c r="B8" s="19">
        <f>IF($C8="","",TEXTJOIN(" | ",TRUE,IF($C8="","Thiếu mã nhân viên",""),IF(COUNTIF($C$6:$C$505,$C8)&gt;1,"Trùng mã nhân viên",""),IF($D8="","Thiếu họ tên",""),IF(AND($E8&lt;&gt;"",OR(NOT(ISNUMBER($E8)),$E8&lt;DATE(1940,1,1),$E8&gt;TODAY())),"Ngày sinh không hợp lệ",""),IF(AND($G8&lt;&gt;"",OR(ISERROR(SEARCH("@",$G8)),ISERROR(SEARCH(".",$G8)))),"Email cá nhân không hợp lệ",""),IF(AND($H8&lt;&gt;"",OR(ISERROR(SEARCH("@",$H8)),ISERROR(SEARCH(".",$H8)))),"Email công ty không hợp lệ",""),IF(AND($I8&lt;&gt;"",OR(LEN($I8)&lt;9,LEN($I8)&gt;15,NOT(ISNUMBER(--$I8)))),"Số điện thoại không hợp lệ","")))</f>
        <v/>
      </c>
      <c r="C8" s="20" t="n"/>
      <c r="D8" s="21" t="n"/>
      <c r="E8" s="22" t="n"/>
      <c r="F8" s="21" t="n"/>
      <c r="G8" s="21" t="n"/>
      <c r="H8" s="21" t="n"/>
      <c r="I8" s="20" t="n"/>
      <c r="J8" s="21" t="n"/>
      <c r="K8" s="21" t="n"/>
    </row>
    <row r="9">
      <c r="A9" s="19">
        <f>IF($C9="","CHƯA NHẬP",IF($B9="","HỢP LỆ","LỖI"))</f>
        <v/>
      </c>
      <c r="B9" s="19">
        <f>IF($C9="","",TEXTJOIN(" | ",TRUE,IF($C9="","Thiếu mã nhân viên",""),IF(COUNTIF($C$6:$C$505,$C9)&gt;1,"Trùng mã nhân viên",""),IF($D9="","Thiếu họ tên",""),IF(AND($E9&lt;&gt;"",OR(NOT(ISNUMBER($E9)),$E9&lt;DATE(1940,1,1),$E9&gt;TODAY())),"Ngày sinh không hợp lệ",""),IF(AND($G9&lt;&gt;"",OR(ISERROR(SEARCH("@",$G9)),ISERROR(SEARCH(".",$G9)))),"Email cá nhân không hợp lệ",""),IF(AND($H9&lt;&gt;"",OR(ISERROR(SEARCH("@",$H9)),ISERROR(SEARCH(".",$H9)))),"Email công ty không hợp lệ",""),IF(AND($I9&lt;&gt;"",OR(LEN($I9)&lt;9,LEN($I9)&gt;15,NOT(ISNUMBER(--$I9)))),"Số điện thoại không hợp lệ","")))</f>
        <v/>
      </c>
      <c r="C9" s="20" t="n"/>
      <c r="D9" s="21" t="n"/>
      <c r="E9" s="22" t="n"/>
      <c r="F9" s="21" t="n"/>
      <c r="G9" s="21" t="n"/>
      <c r="H9" s="21" t="n"/>
      <c r="I9" s="20" t="n"/>
      <c r="J9" s="21" t="n"/>
      <c r="K9" s="21" t="n"/>
    </row>
    <row r="10">
      <c r="A10" s="19">
        <f>IF($C10="","CHƯA NHẬP",IF($B10="","HỢP LỆ","LỖI"))</f>
        <v/>
      </c>
      <c r="B10" s="19">
        <f>IF($C10="","",TEXTJOIN(" | ",TRUE,IF($C10="","Thiếu mã nhân viên",""),IF(COUNTIF($C$6:$C$505,$C10)&gt;1,"Trùng mã nhân viên",""),IF($D10="","Thiếu họ tên",""),IF(AND($E10&lt;&gt;"",OR(NOT(ISNUMBER($E10)),$E10&lt;DATE(1940,1,1),$E10&gt;TODAY())),"Ngày sinh không hợp lệ",""),IF(AND($G10&lt;&gt;"",OR(ISERROR(SEARCH("@",$G10)),ISERROR(SEARCH(".",$G10)))),"Email cá nhân không hợp lệ",""),IF(AND($H10&lt;&gt;"",OR(ISERROR(SEARCH("@",$H10)),ISERROR(SEARCH(".",$H10)))),"Email công ty không hợp lệ",""),IF(AND($I10&lt;&gt;"",OR(LEN($I10)&lt;9,LEN($I10)&gt;15,NOT(ISNUMBER(--$I10)))),"Số điện thoại không hợp lệ","")))</f>
        <v/>
      </c>
      <c r="C10" s="20" t="n"/>
      <c r="D10" s="21" t="n"/>
      <c r="E10" s="22" t="n"/>
      <c r="F10" s="21" t="n"/>
      <c r="G10" s="21" t="n"/>
      <c r="H10" s="21" t="n"/>
      <c r="I10" s="20" t="n"/>
      <c r="J10" s="21" t="n"/>
      <c r="K10" s="21" t="n"/>
    </row>
    <row r="11">
      <c r="A11" s="19">
        <f>IF($C11="","CHƯA NHẬP",IF($B11="","HỢP LỆ","LỖI"))</f>
        <v/>
      </c>
      <c r="B11" s="19">
        <f>IF($C11="","",TEXTJOIN(" | ",TRUE,IF($C11="","Thiếu mã nhân viên",""),IF(COUNTIF($C$6:$C$505,$C11)&gt;1,"Trùng mã nhân viên",""),IF($D11="","Thiếu họ tên",""),IF(AND($E11&lt;&gt;"",OR(NOT(ISNUMBER($E11)),$E11&lt;DATE(1940,1,1),$E11&gt;TODAY())),"Ngày sinh không hợp lệ",""),IF(AND($G11&lt;&gt;"",OR(ISERROR(SEARCH("@",$G11)),ISERROR(SEARCH(".",$G11)))),"Email cá nhân không hợp lệ",""),IF(AND($H11&lt;&gt;"",OR(ISERROR(SEARCH("@",$H11)),ISERROR(SEARCH(".",$H11)))),"Email công ty không hợp lệ",""),IF(AND($I11&lt;&gt;"",OR(LEN($I11)&lt;9,LEN($I11)&gt;15,NOT(ISNUMBER(--$I11)))),"Số điện thoại không hợp lệ","")))</f>
        <v/>
      </c>
      <c r="C11" s="20" t="n"/>
      <c r="D11" s="21" t="n"/>
      <c r="E11" s="22" t="n"/>
      <c r="F11" s="21" t="n"/>
      <c r="G11" s="21" t="n"/>
      <c r="H11" s="21" t="n"/>
      <c r="I11" s="20" t="n"/>
      <c r="J11" s="21" t="n"/>
      <c r="K11" s="21" t="n"/>
    </row>
    <row r="12">
      <c r="A12" s="19">
        <f>IF($C12="","CHƯA NHẬP",IF($B12="","HỢP LỆ","LỖI"))</f>
        <v/>
      </c>
      <c r="B12" s="19">
        <f>IF($C12="","",TEXTJOIN(" | ",TRUE,IF($C12="","Thiếu mã nhân viên",""),IF(COUNTIF($C$6:$C$505,$C12)&gt;1,"Trùng mã nhân viên",""),IF($D12="","Thiếu họ tên",""),IF(AND($E12&lt;&gt;"",OR(NOT(ISNUMBER($E12)),$E12&lt;DATE(1940,1,1),$E12&gt;TODAY())),"Ngày sinh không hợp lệ",""),IF(AND($G12&lt;&gt;"",OR(ISERROR(SEARCH("@",$G12)),ISERROR(SEARCH(".",$G12)))),"Email cá nhân không hợp lệ",""),IF(AND($H12&lt;&gt;"",OR(ISERROR(SEARCH("@",$H12)),ISERROR(SEARCH(".",$H12)))),"Email công ty không hợp lệ",""),IF(AND($I12&lt;&gt;"",OR(LEN($I12)&lt;9,LEN($I12)&gt;15,NOT(ISNUMBER(--$I12)))),"Số điện thoại không hợp lệ","")))</f>
        <v/>
      </c>
      <c r="C12" s="20" t="n"/>
      <c r="D12" s="21" t="n"/>
      <c r="E12" s="22" t="n"/>
      <c r="F12" s="21" t="n"/>
      <c r="G12" s="21" t="n"/>
      <c r="H12" s="21" t="n"/>
      <c r="I12" s="20" t="n"/>
      <c r="J12" s="21" t="n"/>
      <c r="K12" s="21" t="n"/>
    </row>
    <row r="13">
      <c r="A13" s="19">
        <f>IF($C13="","CHƯA NHẬP",IF($B13="","HỢP LỆ","LỖI"))</f>
        <v/>
      </c>
      <c r="B13" s="19">
        <f>IF($C13="","",TEXTJOIN(" | ",TRUE,IF($C13="","Thiếu mã nhân viên",""),IF(COUNTIF($C$6:$C$505,$C13)&gt;1,"Trùng mã nhân viên",""),IF($D13="","Thiếu họ tên",""),IF(AND($E13&lt;&gt;"",OR(NOT(ISNUMBER($E13)),$E13&lt;DATE(1940,1,1),$E13&gt;TODAY())),"Ngày sinh không hợp lệ",""),IF(AND($G13&lt;&gt;"",OR(ISERROR(SEARCH("@",$G13)),ISERROR(SEARCH(".",$G13)))),"Email cá nhân không hợp lệ",""),IF(AND($H13&lt;&gt;"",OR(ISERROR(SEARCH("@",$H13)),ISERROR(SEARCH(".",$H13)))),"Email công ty không hợp lệ",""),IF(AND($I13&lt;&gt;"",OR(LEN($I13)&lt;9,LEN($I13)&gt;15,NOT(ISNUMBER(--$I13)))),"Số điện thoại không hợp lệ","")))</f>
        <v/>
      </c>
      <c r="C13" s="20" t="n"/>
      <c r="D13" s="21" t="n"/>
      <c r="E13" s="22" t="n"/>
      <c r="F13" s="21" t="n"/>
      <c r="G13" s="21" t="n"/>
      <c r="H13" s="21" t="n"/>
      <c r="I13" s="20" t="n"/>
      <c r="J13" s="21" t="n"/>
      <c r="K13" s="21" t="n"/>
    </row>
    <row r="14">
      <c r="A14" s="19">
        <f>IF($C14="","CHƯA NHẬP",IF($B14="","HỢP LỆ","LỖI"))</f>
        <v/>
      </c>
      <c r="B14" s="19">
        <f>IF($C14="","",TEXTJOIN(" | ",TRUE,IF($C14="","Thiếu mã nhân viên",""),IF(COUNTIF($C$6:$C$505,$C14)&gt;1,"Trùng mã nhân viên",""),IF($D14="","Thiếu họ tên",""),IF(AND($E14&lt;&gt;"",OR(NOT(ISNUMBER($E14)),$E14&lt;DATE(1940,1,1),$E14&gt;TODAY())),"Ngày sinh không hợp lệ",""),IF(AND($G14&lt;&gt;"",OR(ISERROR(SEARCH("@",$G14)),ISERROR(SEARCH(".",$G14)))),"Email cá nhân không hợp lệ",""),IF(AND($H14&lt;&gt;"",OR(ISERROR(SEARCH("@",$H14)),ISERROR(SEARCH(".",$H14)))),"Email công ty không hợp lệ",""),IF(AND($I14&lt;&gt;"",OR(LEN($I14)&lt;9,LEN($I14)&gt;15,NOT(ISNUMBER(--$I14)))),"Số điện thoại không hợp lệ","")))</f>
        <v/>
      </c>
      <c r="C14" s="20" t="n"/>
      <c r="D14" s="21" t="n"/>
      <c r="E14" s="22" t="n"/>
      <c r="F14" s="21" t="n"/>
      <c r="G14" s="21" t="n"/>
      <c r="H14" s="21" t="n"/>
      <c r="I14" s="20" t="n"/>
      <c r="J14" s="21" t="n"/>
      <c r="K14" s="21" t="n"/>
    </row>
    <row r="15">
      <c r="A15" s="19">
        <f>IF($C15="","CHƯA NHẬP",IF($B15="","HỢP LỆ","LỖI"))</f>
        <v/>
      </c>
      <c r="B15" s="19">
        <f>IF($C15="","",TEXTJOIN(" | ",TRUE,IF($C15="","Thiếu mã nhân viên",""),IF(COUNTIF($C$6:$C$505,$C15)&gt;1,"Trùng mã nhân viên",""),IF($D15="","Thiếu họ tên",""),IF(AND($E15&lt;&gt;"",OR(NOT(ISNUMBER($E15)),$E15&lt;DATE(1940,1,1),$E15&gt;TODAY())),"Ngày sinh không hợp lệ",""),IF(AND($G15&lt;&gt;"",OR(ISERROR(SEARCH("@",$G15)),ISERROR(SEARCH(".",$G15)))),"Email cá nhân không hợp lệ",""),IF(AND($H15&lt;&gt;"",OR(ISERROR(SEARCH("@",$H15)),ISERROR(SEARCH(".",$H15)))),"Email công ty không hợp lệ",""),IF(AND($I15&lt;&gt;"",OR(LEN($I15)&lt;9,LEN($I15)&gt;15,NOT(ISNUMBER(--$I15)))),"Số điện thoại không hợp lệ","")))</f>
        <v/>
      </c>
      <c r="C15" s="20" t="n"/>
      <c r="D15" s="21" t="n"/>
      <c r="E15" s="22" t="n"/>
      <c r="F15" s="21" t="n"/>
      <c r="G15" s="21" t="n"/>
      <c r="H15" s="21" t="n"/>
      <c r="I15" s="20" t="n"/>
      <c r="J15" s="21" t="n"/>
      <c r="K15" s="21" t="n"/>
    </row>
    <row r="16">
      <c r="A16" s="19">
        <f>IF($C16="","CHƯA NHẬP",IF($B16="","HỢP LỆ","LỖI"))</f>
        <v/>
      </c>
      <c r="B16" s="19">
        <f>IF($C16="","",TEXTJOIN(" | ",TRUE,IF($C16="","Thiếu mã nhân viên",""),IF(COUNTIF($C$6:$C$505,$C16)&gt;1,"Trùng mã nhân viên",""),IF($D16="","Thiếu họ tên",""),IF(AND($E16&lt;&gt;"",OR(NOT(ISNUMBER($E16)),$E16&lt;DATE(1940,1,1),$E16&gt;TODAY())),"Ngày sinh không hợp lệ",""),IF(AND($G16&lt;&gt;"",OR(ISERROR(SEARCH("@",$G16)),ISERROR(SEARCH(".",$G16)))),"Email cá nhân không hợp lệ",""),IF(AND($H16&lt;&gt;"",OR(ISERROR(SEARCH("@",$H16)),ISERROR(SEARCH(".",$H16)))),"Email công ty không hợp lệ",""),IF(AND($I16&lt;&gt;"",OR(LEN($I16)&lt;9,LEN($I16)&gt;15,NOT(ISNUMBER(--$I16)))),"Số điện thoại không hợp lệ","")))</f>
        <v/>
      </c>
      <c r="C16" s="20" t="n"/>
      <c r="D16" s="21" t="n"/>
      <c r="E16" s="22" t="n"/>
      <c r="F16" s="21" t="n"/>
      <c r="G16" s="21" t="n"/>
      <c r="H16" s="21" t="n"/>
      <c r="I16" s="20" t="n"/>
      <c r="J16" s="21" t="n"/>
      <c r="K16" s="21" t="n"/>
    </row>
    <row r="17">
      <c r="A17" s="19">
        <f>IF($C17="","CHƯA NHẬP",IF($B17="","HỢP LỆ","LỖI"))</f>
        <v/>
      </c>
      <c r="B17" s="19">
        <f>IF($C17="","",TEXTJOIN(" | ",TRUE,IF($C17="","Thiếu mã nhân viên",""),IF(COUNTIF($C$6:$C$505,$C17)&gt;1,"Trùng mã nhân viên",""),IF($D17="","Thiếu họ tên",""),IF(AND($E17&lt;&gt;"",OR(NOT(ISNUMBER($E17)),$E17&lt;DATE(1940,1,1),$E17&gt;TODAY())),"Ngày sinh không hợp lệ",""),IF(AND($G17&lt;&gt;"",OR(ISERROR(SEARCH("@",$G17)),ISERROR(SEARCH(".",$G17)))),"Email cá nhân không hợp lệ",""),IF(AND($H17&lt;&gt;"",OR(ISERROR(SEARCH("@",$H17)),ISERROR(SEARCH(".",$H17)))),"Email công ty không hợp lệ",""),IF(AND($I17&lt;&gt;"",OR(LEN($I17)&lt;9,LEN($I17)&gt;15,NOT(ISNUMBER(--$I17)))),"Số điện thoại không hợp lệ","")))</f>
        <v/>
      </c>
      <c r="C17" s="20" t="n"/>
      <c r="D17" s="21" t="n"/>
      <c r="E17" s="22" t="n"/>
      <c r="F17" s="21" t="n"/>
      <c r="G17" s="21" t="n"/>
      <c r="H17" s="21" t="n"/>
      <c r="I17" s="20" t="n"/>
      <c r="J17" s="21" t="n"/>
      <c r="K17" s="21" t="n"/>
    </row>
    <row r="18">
      <c r="A18" s="19">
        <f>IF($C18="","CHƯA NHẬP",IF($B18="","HỢP LỆ","LỖI"))</f>
        <v/>
      </c>
      <c r="B18" s="19">
        <f>IF($C18="","",TEXTJOIN(" | ",TRUE,IF($C18="","Thiếu mã nhân viên",""),IF(COUNTIF($C$6:$C$505,$C18)&gt;1,"Trùng mã nhân viên",""),IF($D18="","Thiếu họ tên",""),IF(AND($E18&lt;&gt;"",OR(NOT(ISNUMBER($E18)),$E18&lt;DATE(1940,1,1),$E18&gt;TODAY())),"Ngày sinh không hợp lệ",""),IF(AND($G18&lt;&gt;"",OR(ISERROR(SEARCH("@",$G18)),ISERROR(SEARCH(".",$G18)))),"Email cá nhân không hợp lệ",""),IF(AND($H18&lt;&gt;"",OR(ISERROR(SEARCH("@",$H18)),ISERROR(SEARCH(".",$H18)))),"Email công ty không hợp lệ",""),IF(AND($I18&lt;&gt;"",OR(LEN($I18)&lt;9,LEN($I18)&gt;15,NOT(ISNUMBER(--$I18)))),"Số điện thoại không hợp lệ","")))</f>
        <v/>
      </c>
      <c r="C18" s="20" t="n"/>
      <c r="D18" s="21" t="n"/>
      <c r="E18" s="22" t="n"/>
      <c r="F18" s="21" t="n"/>
      <c r="G18" s="21" t="n"/>
      <c r="H18" s="21" t="n"/>
      <c r="I18" s="20" t="n"/>
      <c r="J18" s="21" t="n"/>
      <c r="K18" s="21" t="n"/>
    </row>
    <row r="19">
      <c r="A19" s="19">
        <f>IF($C19="","CHƯA NHẬP",IF($B19="","HỢP LỆ","LỖI"))</f>
        <v/>
      </c>
      <c r="B19" s="19">
        <f>IF($C19="","",TEXTJOIN(" | ",TRUE,IF($C19="","Thiếu mã nhân viên",""),IF(COUNTIF($C$6:$C$505,$C19)&gt;1,"Trùng mã nhân viên",""),IF($D19="","Thiếu họ tên",""),IF(AND($E19&lt;&gt;"",OR(NOT(ISNUMBER($E19)),$E19&lt;DATE(1940,1,1),$E19&gt;TODAY())),"Ngày sinh không hợp lệ",""),IF(AND($G19&lt;&gt;"",OR(ISERROR(SEARCH("@",$G19)),ISERROR(SEARCH(".",$G19)))),"Email cá nhân không hợp lệ",""),IF(AND($H19&lt;&gt;"",OR(ISERROR(SEARCH("@",$H19)),ISERROR(SEARCH(".",$H19)))),"Email công ty không hợp lệ",""),IF(AND($I19&lt;&gt;"",OR(LEN($I19)&lt;9,LEN($I19)&gt;15,NOT(ISNUMBER(--$I19)))),"Số điện thoại không hợp lệ","")))</f>
        <v/>
      </c>
      <c r="C19" s="20" t="n"/>
      <c r="D19" s="21" t="n"/>
      <c r="E19" s="22" t="n"/>
      <c r="F19" s="21" t="n"/>
      <c r="G19" s="21" t="n"/>
      <c r="H19" s="21" t="n"/>
      <c r="I19" s="20" t="n"/>
      <c r="J19" s="21" t="n"/>
      <c r="K19" s="21" t="n"/>
    </row>
    <row r="20">
      <c r="A20" s="19">
        <f>IF($C20="","CHƯA NHẬP",IF($B20="","HỢP LỆ","LỖI"))</f>
        <v/>
      </c>
      <c r="B20" s="19">
        <f>IF($C20="","",TEXTJOIN(" | ",TRUE,IF($C20="","Thiếu mã nhân viên",""),IF(COUNTIF($C$6:$C$505,$C20)&gt;1,"Trùng mã nhân viên",""),IF($D20="","Thiếu họ tên",""),IF(AND($E20&lt;&gt;"",OR(NOT(ISNUMBER($E20)),$E20&lt;DATE(1940,1,1),$E20&gt;TODAY())),"Ngày sinh không hợp lệ",""),IF(AND($G20&lt;&gt;"",OR(ISERROR(SEARCH("@",$G20)),ISERROR(SEARCH(".",$G20)))),"Email cá nhân không hợp lệ",""),IF(AND($H20&lt;&gt;"",OR(ISERROR(SEARCH("@",$H20)),ISERROR(SEARCH(".",$H20)))),"Email công ty không hợp lệ",""),IF(AND($I20&lt;&gt;"",OR(LEN($I20)&lt;9,LEN($I20)&gt;15,NOT(ISNUMBER(--$I20)))),"Số điện thoại không hợp lệ","")))</f>
        <v/>
      </c>
      <c r="C20" s="20" t="n"/>
      <c r="D20" s="21" t="n"/>
      <c r="E20" s="22" t="n"/>
      <c r="F20" s="21" t="n"/>
      <c r="G20" s="21" t="n"/>
      <c r="H20" s="21" t="n"/>
      <c r="I20" s="20" t="n"/>
      <c r="J20" s="21" t="n"/>
      <c r="K20" s="21" t="n"/>
    </row>
    <row r="21">
      <c r="A21" s="19">
        <f>IF($C21="","CHƯA NHẬP",IF($B21="","HỢP LỆ","LỖI"))</f>
        <v/>
      </c>
      <c r="B21" s="19">
        <f>IF($C21="","",TEXTJOIN(" | ",TRUE,IF($C21="","Thiếu mã nhân viên",""),IF(COUNTIF($C$6:$C$505,$C21)&gt;1,"Trùng mã nhân viên",""),IF($D21="","Thiếu họ tên",""),IF(AND($E21&lt;&gt;"",OR(NOT(ISNUMBER($E21)),$E21&lt;DATE(1940,1,1),$E21&gt;TODAY())),"Ngày sinh không hợp lệ",""),IF(AND($G21&lt;&gt;"",OR(ISERROR(SEARCH("@",$G21)),ISERROR(SEARCH(".",$G21)))),"Email cá nhân không hợp lệ",""),IF(AND($H21&lt;&gt;"",OR(ISERROR(SEARCH("@",$H21)),ISERROR(SEARCH(".",$H21)))),"Email công ty không hợp lệ",""),IF(AND($I21&lt;&gt;"",OR(LEN($I21)&lt;9,LEN($I21)&gt;15,NOT(ISNUMBER(--$I21)))),"Số điện thoại không hợp lệ","")))</f>
        <v/>
      </c>
      <c r="C21" s="20" t="n"/>
      <c r="D21" s="21" t="n"/>
      <c r="E21" s="22" t="n"/>
      <c r="F21" s="21" t="n"/>
      <c r="G21" s="21" t="n"/>
      <c r="H21" s="21" t="n"/>
      <c r="I21" s="20" t="n"/>
      <c r="J21" s="21" t="n"/>
      <c r="K21" s="21" t="n"/>
    </row>
    <row r="22">
      <c r="A22" s="19">
        <f>IF($C22="","CHƯA NHẬP",IF($B22="","HỢP LỆ","LỖI"))</f>
        <v/>
      </c>
      <c r="B22" s="19">
        <f>IF($C22="","",TEXTJOIN(" | ",TRUE,IF($C22="","Thiếu mã nhân viên",""),IF(COUNTIF($C$6:$C$505,$C22)&gt;1,"Trùng mã nhân viên",""),IF($D22="","Thiếu họ tên",""),IF(AND($E22&lt;&gt;"",OR(NOT(ISNUMBER($E22)),$E22&lt;DATE(1940,1,1),$E22&gt;TODAY())),"Ngày sinh không hợp lệ",""),IF(AND($G22&lt;&gt;"",OR(ISERROR(SEARCH("@",$G22)),ISERROR(SEARCH(".",$G22)))),"Email cá nhân không hợp lệ",""),IF(AND($H22&lt;&gt;"",OR(ISERROR(SEARCH("@",$H22)),ISERROR(SEARCH(".",$H22)))),"Email công ty không hợp lệ",""),IF(AND($I22&lt;&gt;"",OR(LEN($I22)&lt;9,LEN($I22)&gt;15,NOT(ISNUMBER(--$I22)))),"Số điện thoại không hợp lệ","")))</f>
        <v/>
      </c>
      <c r="C22" s="20" t="n"/>
      <c r="D22" s="21" t="n"/>
      <c r="E22" s="22" t="n"/>
      <c r="F22" s="21" t="n"/>
      <c r="G22" s="21" t="n"/>
      <c r="H22" s="21" t="n"/>
      <c r="I22" s="20" t="n"/>
      <c r="J22" s="21" t="n"/>
      <c r="K22" s="21" t="n"/>
    </row>
    <row r="23">
      <c r="A23" s="19">
        <f>IF($C23="","CHƯA NHẬP",IF($B23="","HỢP LỆ","LỖI"))</f>
        <v/>
      </c>
      <c r="B23" s="19">
        <f>IF($C23="","",TEXTJOIN(" | ",TRUE,IF($C23="","Thiếu mã nhân viên",""),IF(COUNTIF($C$6:$C$505,$C23)&gt;1,"Trùng mã nhân viên",""),IF($D23="","Thiếu họ tên",""),IF(AND($E23&lt;&gt;"",OR(NOT(ISNUMBER($E23)),$E23&lt;DATE(1940,1,1),$E23&gt;TODAY())),"Ngày sinh không hợp lệ",""),IF(AND($G23&lt;&gt;"",OR(ISERROR(SEARCH("@",$G23)),ISERROR(SEARCH(".",$G23)))),"Email cá nhân không hợp lệ",""),IF(AND($H23&lt;&gt;"",OR(ISERROR(SEARCH("@",$H23)),ISERROR(SEARCH(".",$H23)))),"Email công ty không hợp lệ",""),IF(AND($I23&lt;&gt;"",OR(LEN($I23)&lt;9,LEN($I23)&gt;15,NOT(ISNUMBER(--$I23)))),"Số điện thoại không hợp lệ","")))</f>
        <v/>
      </c>
      <c r="C23" s="20" t="n"/>
      <c r="D23" s="21" t="n"/>
      <c r="E23" s="22" t="n"/>
      <c r="F23" s="21" t="n"/>
      <c r="G23" s="21" t="n"/>
      <c r="H23" s="21" t="n"/>
      <c r="I23" s="20" t="n"/>
      <c r="J23" s="21" t="n"/>
      <c r="K23" s="21" t="n"/>
    </row>
    <row r="24">
      <c r="A24" s="19">
        <f>IF($C24="","CHƯA NHẬP",IF($B24="","HỢP LỆ","LỖI"))</f>
        <v/>
      </c>
      <c r="B24" s="19">
        <f>IF($C24="","",TEXTJOIN(" | ",TRUE,IF($C24="","Thiếu mã nhân viên",""),IF(COUNTIF($C$6:$C$505,$C24)&gt;1,"Trùng mã nhân viên",""),IF($D24="","Thiếu họ tên",""),IF(AND($E24&lt;&gt;"",OR(NOT(ISNUMBER($E24)),$E24&lt;DATE(1940,1,1),$E24&gt;TODAY())),"Ngày sinh không hợp lệ",""),IF(AND($G24&lt;&gt;"",OR(ISERROR(SEARCH("@",$G24)),ISERROR(SEARCH(".",$G24)))),"Email cá nhân không hợp lệ",""),IF(AND($H24&lt;&gt;"",OR(ISERROR(SEARCH("@",$H24)),ISERROR(SEARCH(".",$H24)))),"Email công ty không hợp lệ",""),IF(AND($I24&lt;&gt;"",OR(LEN($I24)&lt;9,LEN($I24)&gt;15,NOT(ISNUMBER(--$I24)))),"Số điện thoại không hợp lệ","")))</f>
        <v/>
      </c>
      <c r="C24" s="20" t="n"/>
      <c r="D24" s="21" t="n"/>
      <c r="E24" s="22" t="n"/>
      <c r="F24" s="21" t="n"/>
      <c r="G24" s="21" t="n"/>
      <c r="H24" s="21" t="n"/>
      <c r="I24" s="20" t="n"/>
      <c r="J24" s="21" t="n"/>
      <c r="K24" s="21" t="n"/>
    </row>
    <row r="25">
      <c r="A25" s="19">
        <f>IF($C25="","CHƯA NHẬP",IF($B25="","HỢP LỆ","LỖI"))</f>
        <v/>
      </c>
      <c r="B25" s="19">
        <f>IF($C25="","",TEXTJOIN(" | ",TRUE,IF($C25="","Thiếu mã nhân viên",""),IF(COUNTIF($C$6:$C$505,$C25)&gt;1,"Trùng mã nhân viên",""),IF($D25="","Thiếu họ tên",""),IF(AND($E25&lt;&gt;"",OR(NOT(ISNUMBER($E25)),$E25&lt;DATE(1940,1,1),$E25&gt;TODAY())),"Ngày sinh không hợp lệ",""),IF(AND($G25&lt;&gt;"",OR(ISERROR(SEARCH("@",$G25)),ISERROR(SEARCH(".",$G25)))),"Email cá nhân không hợp lệ",""),IF(AND($H25&lt;&gt;"",OR(ISERROR(SEARCH("@",$H25)),ISERROR(SEARCH(".",$H25)))),"Email công ty không hợp lệ",""),IF(AND($I25&lt;&gt;"",OR(LEN($I25)&lt;9,LEN($I25)&gt;15,NOT(ISNUMBER(--$I25)))),"Số điện thoại không hợp lệ","")))</f>
        <v/>
      </c>
      <c r="C25" s="20" t="n"/>
      <c r="D25" s="21" t="n"/>
      <c r="E25" s="22" t="n"/>
      <c r="F25" s="21" t="n"/>
      <c r="G25" s="21" t="n"/>
      <c r="H25" s="21" t="n"/>
      <c r="I25" s="20" t="n"/>
      <c r="J25" s="21" t="n"/>
      <c r="K25" s="21" t="n"/>
    </row>
    <row r="26">
      <c r="A26" s="19">
        <f>IF($C26="","CHƯA NHẬP",IF($B26="","HỢP LỆ","LỖI"))</f>
        <v/>
      </c>
      <c r="B26" s="19">
        <f>IF($C26="","",TEXTJOIN(" | ",TRUE,IF($C26="","Thiếu mã nhân viên",""),IF(COUNTIF($C$6:$C$505,$C26)&gt;1,"Trùng mã nhân viên",""),IF($D26="","Thiếu họ tên",""),IF(AND($E26&lt;&gt;"",OR(NOT(ISNUMBER($E26)),$E26&lt;DATE(1940,1,1),$E26&gt;TODAY())),"Ngày sinh không hợp lệ",""),IF(AND($G26&lt;&gt;"",OR(ISERROR(SEARCH("@",$G26)),ISERROR(SEARCH(".",$G26)))),"Email cá nhân không hợp lệ",""),IF(AND($H26&lt;&gt;"",OR(ISERROR(SEARCH("@",$H26)),ISERROR(SEARCH(".",$H26)))),"Email công ty không hợp lệ",""),IF(AND($I26&lt;&gt;"",OR(LEN($I26)&lt;9,LEN($I26)&gt;15,NOT(ISNUMBER(--$I26)))),"Số điện thoại không hợp lệ","")))</f>
        <v/>
      </c>
      <c r="C26" s="20" t="n"/>
      <c r="D26" s="21" t="n"/>
      <c r="E26" s="22" t="n"/>
      <c r="F26" s="21" t="n"/>
      <c r="G26" s="21" t="n"/>
      <c r="H26" s="21" t="n"/>
      <c r="I26" s="20" t="n"/>
      <c r="J26" s="21" t="n"/>
      <c r="K26" s="21" t="n"/>
    </row>
    <row r="27">
      <c r="A27" s="19">
        <f>IF($C27="","CHƯA NHẬP",IF($B27="","HỢP LỆ","LỖI"))</f>
        <v/>
      </c>
      <c r="B27" s="19">
        <f>IF($C27="","",TEXTJOIN(" | ",TRUE,IF($C27="","Thiếu mã nhân viên",""),IF(COUNTIF($C$6:$C$505,$C27)&gt;1,"Trùng mã nhân viên",""),IF($D27="","Thiếu họ tên",""),IF(AND($E27&lt;&gt;"",OR(NOT(ISNUMBER($E27)),$E27&lt;DATE(1940,1,1),$E27&gt;TODAY())),"Ngày sinh không hợp lệ",""),IF(AND($G27&lt;&gt;"",OR(ISERROR(SEARCH("@",$G27)),ISERROR(SEARCH(".",$G27)))),"Email cá nhân không hợp lệ",""),IF(AND($H27&lt;&gt;"",OR(ISERROR(SEARCH("@",$H27)),ISERROR(SEARCH(".",$H27)))),"Email công ty không hợp lệ",""),IF(AND($I27&lt;&gt;"",OR(LEN($I27)&lt;9,LEN($I27)&gt;15,NOT(ISNUMBER(--$I27)))),"Số điện thoại không hợp lệ","")))</f>
        <v/>
      </c>
      <c r="C27" s="20" t="n"/>
      <c r="D27" s="21" t="n"/>
      <c r="E27" s="22" t="n"/>
      <c r="F27" s="21" t="n"/>
      <c r="G27" s="21" t="n"/>
      <c r="H27" s="21" t="n"/>
      <c r="I27" s="20" t="n"/>
      <c r="J27" s="21" t="n"/>
      <c r="K27" s="21" t="n"/>
    </row>
    <row r="28">
      <c r="A28" s="19">
        <f>IF($C28="","CHƯA NHẬP",IF($B28="","HỢP LỆ","LỖI"))</f>
        <v/>
      </c>
      <c r="B28" s="19">
        <f>IF($C28="","",TEXTJOIN(" | ",TRUE,IF($C28="","Thiếu mã nhân viên",""),IF(COUNTIF($C$6:$C$505,$C28)&gt;1,"Trùng mã nhân viên",""),IF($D28="","Thiếu họ tên",""),IF(AND($E28&lt;&gt;"",OR(NOT(ISNUMBER($E28)),$E28&lt;DATE(1940,1,1),$E28&gt;TODAY())),"Ngày sinh không hợp lệ",""),IF(AND($G28&lt;&gt;"",OR(ISERROR(SEARCH("@",$G28)),ISERROR(SEARCH(".",$G28)))),"Email cá nhân không hợp lệ",""),IF(AND($H28&lt;&gt;"",OR(ISERROR(SEARCH("@",$H28)),ISERROR(SEARCH(".",$H28)))),"Email công ty không hợp lệ",""),IF(AND($I28&lt;&gt;"",OR(LEN($I28)&lt;9,LEN($I28)&gt;15,NOT(ISNUMBER(--$I28)))),"Số điện thoại không hợp lệ","")))</f>
        <v/>
      </c>
      <c r="C28" s="20" t="n"/>
      <c r="D28" s="21" t="n"/>
      <c r="E28" s="22" t="n"/>
      <c r="F28" s="21" t="n"/>
      <c r="G28" s="21" t="n"/>
      <c r="H28" s="21" t="n"/>
      <c r="I28" s="20" t="n"/>
      <c r="J28" s="21" t="n"/>
      <c r="K28" s="21" t="n"/>
    </row>
    <row r="29">
      <c r="A29" s="19">
        <f>IF($C29="","CHƯA NHẬP",IF($B29="","HỢP LỆ","LỖI"))</f>
        <v/>
      </c>
      <c r="B29" s="19">
        <f>IF($C29="","",TEXTJOIN(" | ",TRUE,IF($C29="","Thiếu mã nhân viên",""),IF(COUNTIF($C$6:$C$505,$C29)&gt;1,"Trùng mã nhân viên",""),IF($D29="","Thiếu họ tên",""),IF(AND($E29&lt;&gt;"",OR(NOT(ISNUMBER($E29)),$E29&lt;DATE(1940,1,1),$E29&gt;TODAY())),"Ngày sinh không hợp lệ",""),IF(AND($G29&lt;&gt;"",OR(ISERROR(SEARCH("@",$G29)),ISERROR(SEARCH(".",$G29)))),"Email cá nhân không hợp lệ",""),IF(AND($H29&lt;&gt;"",OR(ISERROR(SEARCH("@",$H29)),ISERROR(SEARCH(".",$H29)))),"Email công ty không hợp lệ",""),IF(AND($I29&lt;&gt;"",OR(LEN($I29)&lt;9,LEN($I29)&gt;15,NOT(ISNUMBER(--$I29)))),"Số điện thoại không hợp lệ","")))</f>
        <v/>
      </c>
      <c r="C29" s="20" t="n"/>
      <c r="D29" s="21" t="n"/>
      <c r="E29" s="22" t="n"/>
      <c r="F29" s="21" t="n"/>
      <c r="G29" s="21" t="n"/>
      <c r="H29" s="21" t="n"/>
      <c r="I29" s="20" t="n"/>
      <c r="J29" s="21" t="n"/>
      <c r="K29" s="21" t="n"/>
    </row>
    <row r="30">
      <c r="A30" s="19">
        <f>IF($C30="","CHƯA NHẬP",IF($B30="","HỢP LỆ","LỖI"))</f>
        <v/>
      </c>
      <c r="B30" s="19">
        <f>IF($C30="","",TEXTJOIN(" | ",TRUE,IF($C30="","Thiếu mã nhân viên",""),IF(COUNTIF($C$6:$C$505,$C30)&gt;1,"Trùng mã nhân viên",""),IF($D30="","Thiếu họ tên",""),IF(AND($E30&lt;&gt;"",OR(NOT(ISNUMBER($E30)),$E30&lt;DATE(1940,1,1),$E30&gt;TODAY())),"Ngày sinh không hợp lệ",""),IF(AND($G30&lt;&gt;"",OR(ISERROR(SEARCH("@",$G30)),ISERROR(SEARCH(".",$G30)))),"Email cá nhân không hợp lệ",""),IF(AND($H30&lt;&gt;"",OR(ISERROR(SEARCH("@",$H30)),ISERROR(SEARCH(".",$H30)))),"Email công ty không hợp lệ",""),IF(AND($I30&lt;&gt;"",OR(LEN($I30)&lt;9,LEN($I30)&gt;15,NOT(ISNUMBER(--$I30)))),"Số điện thoại không hợp lệ","")))</f>
        <v/>
      </c>
      <c r="C30" s="20" t="n"/>
      <c r="D30" s="21" t="n"/>
      <c r="E30" s="22" t="n"/>
      <c r="F30" s="21" t="n"/>
      <c r="G30" s="21" t="n"/>
      <c r="H30" s="21" t="n"/>
      <c r="I30" s="20" t="n"/>
      <c r="J30" s="21" t="n"/>
      <c r="K30" s="21" t="n"/>
    </row>
    <row r="31">
      <c r="A31" s="19">
        <f>IF($C31="","CHƯA NHẬP",IF($B31="","HỢP LỆ","LỖI"))</f>
        <v/>
      </c>
      <c r="B31" s="19">
        <f>IF($C31="","",TEXTJOIN(" | ",TRUE,IF($C31="","Thiếu mã nhân viên",""),IF(COUNTIF($C$6:$C$505,$C31)&gt;1,"Trùng mã nhân viên",""),IF($D31="","Thiếu họ tên",""),IF(AND($E31&lt;&gt;"",OR(NOT(ISNUMBER($E31)),$E31&lt;DATE(1940,1,1),$E31&gt;TODAY())),"Ngày sinh không hợp lệ",""),IF(AND($G31&lt;&gt;"",OR(ISERROR(SEARCH("@",$G31)),ISERROR(SEARCH(".",$G31)))),"Email cá nhân không hợp lệ",""),IF(AND($H31&lt;&gt;"",OR(ISERROR(SEARCH("@",$H31)),ISERROR(SEARCH(".",$H31)))),"Email công ty không hợp lệ",""),IF(AND($I31&lt;&gt;"",OR(LEN($I31)&lt;9,LEN($I31)&gt;15,NOT(ISNUMBER(--$I31)))),"Số điện thoại không hợp lệ","")))</f>
        <v/>
      </c>
      <c r="C31" s="20" t="n"/>
      <c r="D31" s="21" t="n"/>
      <c r="E31" s="22" t="n"/>
      <c r="F31" s="21" t="n"/>
      <c r="G31" s="21" t="n"/>
      <c r="H31" s="21" t="n"/>
      <c r="I31" s="20" t="n"/>
      <c r="J31" s="21" t="n"/>
      <c r="K31" s="21" t="n"/>
    </row>
    <row r="32">
      <c r="A32" s="19">
        <f>IF($C32="","CHƯA NHẬP",IF($B32="","HỢP LỆ","LỖI"))</f>
        <v/>
      </c>
      <c r="B32" s="19">
        <f>IF($C32="","",TEXTJOIN(" | ",TRUE,IF($C32="","Thiếu mã nhân viên",""),IF(COUNTIF($C$6:$C$505,$C32)&gt;1,"Trùng mã nhân viên",""),IF($D32="","Thiếu họ tên",""),IF(AND($E32&lt;&gt;"",OR(NOT(ISNUMBER($E32)),$E32&lt;DATE(1940,1,1),$E32&gt;TODAY())),"Ngày sinh không hợp lệ",""),IF(AND($G32&lt;&gt;"",OR(ISERROR(SEARCH("@",$G32)),ISERROR(SEARCH(".",$G32)))),"Email cá nhân không hợp lệ",""),IF(AND($H32&lt;&gt;"",OR(ISERROR(SEARCH("@",$H32)),ISERROR(SEARCH(".",$H32)))),"Email công ty không hợp lệ",""),IF(AND($I32&lt;&gt;"",OR(LEN($I32)&lt;9,LEN($I32)&gt;15,NOT(ISNUMBER(--$I32)))),"Số điện thoại không hợp lệ","")))</f>
        <v/>
      </c>
      <c r="C32" s="20" t="n"/>
      <c r="D32" s="21" t="n"/>
      <c r="E32" s="22" t="n"/>
      <c r="F32" s="21" t="n"/>
      <c r="G32" s="21" t="n"/>
      <c r="H32" s="21" t="n"/>
      <c r="I32" s="20" t="n"/>
      <c r="J32" s="21" t="n"/>
      <c r="K32" s="21" t="n"/>
    </row>
    <row r="33">
      <c r="A33" s="19">
        <f>IF($C33="","CHƯA NHẬP",IF($B33="","HỢP LỆ","LỖI"))</f>
        <v/>
      </c>
      <c r="B33" s="19">
        <f>IF($C33="","",TEXTJOIN(" | ",TRUE,IF($C33="","Thiếu mã nhân viên",""),IF(COUNTIF($C$6:$C$505,$C33)&gt;1,"Trùng mã nhân viên",""),IF($D33="","Thiếu họ tên",""),IF(AND($E33&lt;&gt;"",OR(NOT(ISNUMBER($E33)),$E33&lt;DATE(1940,1,1),$E33&gt;TODAY())),"Ngày sinh không hợp lệ",""),IF(AND($G33&lt;&gt;"",OR(ISERROR(SEARCH("@",$G33)),ISERROR(SEARCH(".",$G33)))),"Email cá nhân không hợp lệ",""),IF(AND($H33&lt;&gt;"",OR(ISERROR(SEARCH("@",$H33)),ISERROR(SEARCH(".",$H33)))),"Email công ty không hợp lệ",""),IF(AND($I33&lt;&gt;"",OR(LEN($I33)&lt;9,LEN($I33)&gt;15,NOT(ISNUMBER(--$I33)))),"Số điện thoại không hợp lệ","")))</f>
        <v/>
      </c>
      <c r="C33" s="20" t="n"/>
      <c r="D33" s="21" t="n"/>
      <c r="E33" s="22" t="n"/>
      <c r="F33" s="21" t="n"/>
      <c r="G33" s="21" t="n"/>
      <c r="H33" s="21" t="n"/>
      <c r="I33" s="20" t="n"/>
      <c r="J33" s="21" t="n"/>
      <c r="K33" s="21" t="n"/>
    </row>
    <row r="34">
      <c r="A34" s="19">
        <f>IF($C34="","CHƯA NHẬP",IF($B34="","HỢP LỆ","LỖI"))</f>
        <v/>
      </c>
      <c r="B34" s="19">
        <f>IF($C34="","",TEXTJOIN(" | ",TRUE,IF($C34="","Thiếu mã nhân viên",""),IF(COUNTIF($C$6:$C$505,$C34)&gt;1,"Trùng mã nhân viên",""),IF($D34="","Thiếu họ tên",""),IF(AND($E34&lt;&gt;"",OR(NOT(ISNUMBER($E34)),$E34&lt;DATE(1940,1,1),$E34&gt;TODAY())),"Ngày sinh không hợp lệ",""),IF(AND($G34&lt;&gt;"",OR(ISERROR(SEARCH("@",$G34)),ISERROR(SEARCH(".",$G34)))),"Email cá nhân không hợp lệ",""),IF(AND($H34&lt;&gt;"",OR(ISERROR(SEARCH("@",$H34)),ISERROR(SEARCH(".",$H34)))),"Email công ty không hợp lệ",""),IF(AND($I34&lt;&gt;"",OR(LEN($I34)&lt;9,LEN($I34)&gt;15,NOT(ISNUMBER(--$I34)))),"Số điện thoại không hợp lệ","")))</f>
        <v/>
      </c>
      <c r="C34" s="20" t="n"/>
      <c r="D34" s="21" t="n"/>
      <c r="E34" s="22" t="n"/>
      <c r="F34" s="21" t="n"/>
      <c r="G34" s="21" t="n"/>
      <c r="H34" s="21" t="n"/>
      <c r="I34" s="20" t="n"/>
      <c r="J34" s="21" t="n"/>
      <c r="K34" s="21" t="n"/>
    </row>
    <row r="35">
      <c r="A35" s="19">
        <f>IF($C35="","CHƯA NHẬP",IF($B35="","HỢP LỆ","LỖI"))</f>
        <v/>
      </c>
      <c r="B35" s="19">
        <f>IF($C35="","",TEXTJOIN(" | ",TRUE,IF($C35="","Thiếu mã nhân viên",""),IF(COUNTIF($C$6:$C$505,$C35)&gt;1,"Trùng mã nhân viên",""),IF($D35="","Thiếu họ tên",""),IF(AND($E35&lt;&gt;"",OR(NOT(ISNUMBER($E35)),$E35&lt;DATE(1940,1,1),$E35&gt;TODAY())),"Ngày sinh không hợp lệ",""),IF(AND($G35&lt;&gt;"",OR(ISERROR(SEARCH("@",$G35)),ISERROR(SEARCH(".",$G35)))),"Email cá nhân không hợp lệ",""),IF(AND($H35&lt;&gt;"",OR(ISERROR(SEARCH("@",$H35)),ISERROR(SEARCH(".",$H35)))),"Email công ty không hợp lệ",""),IF(AND($I35&lt;&gt;"",OR(LEN($I35)&lt;9,LEN($I35)&gt;15,NOT(ISNUMBER(--$I35)))),"Số điện thoại không hợp lệ","")))</f>
        <v/>
      </c>
      <c r="C35" s="20" t="n"/>
      <c r="D35" s="21" t="n"/>
      <c r="E35" s="22" t="n"/>
      <c r="F35" s="21" t="n"/>
      <c r="G35" s="21" t="n"/>
      <c r="H35" s="21" t="n"/>
      <c r="I35" s="20" t="n"/>
      <c r="J35" s="21" t="n"/>
      <c r="K35" s="21" t="n"/>
    </row>
    <row r="36">
      <c r="A36" s="19">
        <f>IF($C36="","CHƯA NHẬP",IF($B36="","HỢP LỆ","LỖI"))</f>
        <v/>
      </c>
      <c r="B36" s="19">
        <f>IF($C36="","",TEXTJOIN(" | ",TRUE,IF($C36="","Thiếu mã nhân viên",""),IF(COUNTIF($C$6:$C$505,$C36)&gt;1,"Trùng mã nhân viên",""),IF($D36="","Thiếu họ tên",""),IF(AND($E36&lt;&gt;"",OR(NOT(ISNUMBER($E36)),$E36&lt;DATE(1940,1,1),$E36&gt;TODAY())),"Ngày sinh không hợp lệ",""),IF(AND($G36&lt;&gt;"",OR(ISERROR(SEARCH("@",$G36)),ISERROR(SEARCH(".",$G36)))),"Email cá nhân không hợp lệ",""),IF(AND($H36&lt;&gt;"",OR(ISERROR(SEARCH("@",$H36)),ISERROR(SEARCH(".",$H36)))),"Email công ty không hợp lệ",""),IF(AND($I36&lt;&gt;"",OR(LEN($I36)&lt;9,LEN($I36)&gt;15,NOT(ISNUMBER(--$I36)))),"Số điện thoại không hợp lệ","")))</f>
        <v/>
      </c>
      <c r="C36" s="20" t="n"/>
      <c r="D36" s="21" t="n"/>
      <c r="E36" s="22" t="n"/>
      <c r="F36" s="21" t="n"/>
      <c r="G36" s="21" t="n"/>
      <c r="H36" s="21" t="n"/>
      <c r="I36" s="20" t="n"/>
      <c r="J36" s="21" t="n"/>
      <c r="K36" s="21" t="n"/>
    </row>
    <row r="37">
      <c r="A37" s="19">
        <f>IF($C37="","CHƯA NHẬP",IF($B37="","HỢP LỆ","LỖI"))</f>
        <v/>
      </c>
      <c r="B37" s="19">
        <f>IF($C37="","",TEXTJOIN(" | ",TRUE,IF($C37="","Thiếu mã nhân viên",""),IF(COUNTIF($C$6:$C$505,$C37)&gt;1,"Trùng mã nhân viên",""),IF($D37="","Thiếu họ tên",""),IF(AND($E37&lt;&gt;"",OR(NOT(ISNUMBER($E37)),$E37&lt;DATE(1940,1,1),$E37&gt;TODAY())),"Ngày sinh không hợp lệ",""),IF(AND($G37&lt;&gt;"",OR(ISERROR(SEARCH("@",$G37)),ISERROR(SEARCH(".",$G37)))),"Email cá nhân không hợp lệ",""),IF(AND($H37&lt;&gt;"",OR(ISERROR(SEARCH("@",$H37)),ISERROR(SEARCH(".",$H37)))),"Email công ty không hợp lệ",""),IF(AND($I37&lt;&gt;"",OR(LEN($I37)&lt;9,LEN($I37)&gt;15,NOT(ISNUMBER(--$I37)))),"Số điện thoại không hợp lệ","")))</f>
        <v/>
      </c>
      <c r="C37" s="20" t="n"/>
      <c r="D37" s="21" t="n"/>
      <c r="E37" s="22" t="n"/>
      <c r="F37" s="21" t="n"/>
      <c r="G37" s="21" t="n"/>
      <c r="H37" s="21" t="n"/>
      <c r="I37" s="20" t="n"/>
      <c r="J37" s="21" t="n"/>
      <c r="K37" s="21" t="n"/>
    </row>
    <row r="38">
      <c r="A38" s="19">
        <f>IF($C38="","CHƯA NHẬP",IF($B38="","HỢP LỆ","LỖI"))</f>
        <v/>
      </c>
      <c r="B38" s="19">
        <f>IF($C38="","",TEXTJOIN(" | ",TRUE,IF($C38="","Thiếu mã nhân viên",""),IF(COUNTIF($C$6:$C$505,$C38)&gt;1,"Trùng mã nhân viên",""),IF($D38="","Thiếu họ tên",""),IF(AND($E38&lt;&gt;"",OR(NOT(ISNUMBER($E38)),$E38&lt;DATE(1940,1,1),$E38&gt;TODAY())),"Ngày sinh không hợp lệ",""),IF(AND($G38&lt;&gt;"",OR(ISERROR(SEARCH("@",$G38)),ISERROR(SEARCH(".",$G38)))),"Email cá nhân không hợp lệ",""),IF(AND($H38&lt;&gt;"",OR(ISERROR(SEARCH("@",$H38)),ISERROR(SEARCH(".",$H38)))),"Email công ty không hợp lệ",""),IF(AND($I38&lt;&gt;"",OR(LEN($I38)&lt;9,LEN($I38)&gt;15,NOT(ISNUMBER(--$I38)))),"Số điện thoại không hợp lệ","")))</f>
        <v/>
      </c>
      <c r="C38" s="20" t="n"/>
      <c r="D38" s="21" t="n"/>
      <c r="E38" s="22" t="n"/>
      <c r="F38" s="21" t="n"/>
      <c r="G38" s="21" t="n"/>
      <c r="H38" s="21" t="n"/>
      <c r="I38" s="20" t="n"/>
      <c r="J38" s="21" t="n"/>
      <c r="K38" s="21" t="n"/>
    </row>
    <row r="39">
      <c r="A39" s="19">
        <f>IF($C39="","CHƯA NHẬP",IF($B39="","HỢP LỆ","LỖI"))</f>
        <v/>
      </c>
      <c r="B39" s="19">
        <f>IF($C39="","",TEXTJOIN(" | ",TRUE,IF($C39="","Thiếu mã nhân viên",""),IF(COUNTIF($C$6:$C$505,$C39)&gt;1,"Trùng mã nhân viên",""),IF($D39="","Thiếu họ tên",""),IF(AND($E39&lt;&gt;"",OR(NOT(ISNUMBER($E39)),$E39&lt;DATE(1940,1,1),$E39&gt;TODAY())),"Ngày sinh không hợp lệ",""),IF(AND($G39&lt;&gt;"",OR(ISERROR(SEARCH("@",$G39)),ISERROR(SEARCH(".",$G39)))),"Email cá nhân không hợp lệ",""),IF(AND($H39&lt;&gt;"",OR(ISERROR(SEARCH("@",$H39)),ISERROR(SEARCH(".",$H39)))),"Email công ty không hợp lệ",""),IF(AND($I39&lt;&gt;"",OR(LEN($I39)&lt;9,LEN($I39)&gt;15,NOT(ISNUMBER(--$I39)))),"Số điện thoại không hợp lệ","")))</f>
        <v/>
      </c>
      <c r="C39" s="20" t="n"/>
      <c r="D39" s="21" t="n"/>
      <c r="E39" s="22" t="n"/>
      <c r="F39" s="21" t="n"/>
      <c r="G39" s="21" t="n"/>
      <c r="H39" s="21" t="n"/>
      <c r="I39" s="20" t="n"/>
      <c r="J39" s="21" t="n"/>
      <c r="K39" s="21" t="n"/>
    </row>
    <row r="40">
      <c r="A40" s="19">
        <f>IF($C40="","CHƯA NHẬP",IF($B40="","HỢP LỆ","LỖI"))</f>
        <v/>
      </c>
      <c r="B40" s="19">
        <f>IF($C40="","",TEXTJOIN(" | ",TRUE,IF($C40="","Thiếu mã nhân viên",""),IF(COUNTIF($C$6:$C$505,$C40)&gt;1,"Trùng mã nhân viên",""),IF($D40="","Thiếu họ tên",""),IF(AND($E40&lt;&gt;"",OR(NOT(ISNUMBER($E40)),$E40&lt;DATE(1940,1,1),$E40&gt;TODAY())),"Ngày sinh không hợp lệ",""),IF(AND($G40&lt;&gt;"",OR(ISERROR(SEARCH("@",$G40)),ISERROR(SEARCH(".",$G40)))),"Email cá nhân không hợp lệ",""),IF(AND($H40&lt;&gt;"",OR(ISERROR(SEARCH("@",$H40)),ISERROR(SEARCH(".",$H40)))),"Email công ty không hợp lệ",""),IF(AND($I40&lt;&gt;"",OR(LEN($I40)&lt;9,LEN($I40)&gt;15,NOT(ISNUMBER(--$I40)))),"Số điện thoại không hợp lệ","")))</f>
        <v/>
      </c>
      <c r="C40" s="20" t="n"/>
      <c r="D40" s="21" t="n"/>
      <c r="E40" s="22" t="n"/>
      <c r="F40" s="21" t="n"/>
      <c r="G40" s="21" t="n"/>
      <c r="H40" s="21" t="n"/>
      <c r="I40" s="20" t="n"/>
      <c r="J40" s="21" t="n"/>
      <c r="K40" s="21" t="n"/>
    </row>
    <row r="41">
      <c r="A41" s="19">
        <f>IF($C41="","CHƯA NHẬP",IF($B41="","HỢP LỆ","LỖI"))</f>
        <v/>
      </c>
      <c r="B41" s="19">
        <f>IF($C41="","",TEXTJOIN(" | ",TRUE,IF($C41="","Thiếu mã nhân viên",""),IF(COUNTIF($C$6:$C$505,$C41)&gt;1,"Trùng mã nhân viên",""),IF($D41="","Thiếu họ tên",""),IF(AND($E41&lt;&gt;"",OR(NOT(ISNUMBER($E41)),$E41&lt;DATE(1940,1,1),$E41&gt;TODAY())),"Ngày sinh không hợp lệ",""),IF(AND($G41&lt;&gt;"",OR(ISERROR(SEARCH("@",$G41)),ISERROR(SEARCH(".",$G41)))),"Email cá nhân không hợp lệ",""),IF(AND($H41&lt;&gt;"",OR(ISERROR(SEARCH("@",$H41)),ISERROR(SEARCH(".",$H41)))),"Email công ty không hợp lệ",""),IF(AND($I41&lt;&gt;"",OR(LEN($I41)&lt;9,LEN($I41)&gt;15,NOT(ISNUMBER(--$I41)))),"Số điện thoại không hợp lệ","")))</f>
        <v/>
      </c>
      <c r="C41" s="20" t="n"/>
      <c r="D41" s="21" t="n"/>
      <c r="E41" s="22" t="n"/>
      <c r="F41" s="21" t="n"/>
      <c r="G41" s="21" t="n"/>
      <c r="H41" s="21" t="n"/>
      <c r="I41" s="20" t="n"/>
      <c r="J41" s="21" t="n"/>
      <c r="K41" s="21" t="n"/>
    </row>
    <row r="42">
      <c r="A42" s="19">
        <f>IF($C42="","CHƯA NHẬP",IF($B42="","HỢP LỆ","LỖI"))</f>
        <v/>
      </c>
      <c r="B42" s="19">
        <f>IF($C42="","",TEXTJOIN(" | ",TRUE,IF($C42="","Thiếu mã nhân viên",""),IF(COUNTIF($C$6:$C$505,$C42)&gt;1,"Trùng mã nhân viên",""),IF($D42="","Thiếu họ tên",""),IF(AND($E42&lt;&gt;"",OR(NOT(ISNUMBER($E42)),$E42&lt;DATE(1940,1,1),$E42&gt;TODAY())),"Ngày sinh không hợp lệ",""),IF(AND($G42&lt;&gt;"",OR(ISERROR(SEARCH("@",$G42)),ISERROR(SEARCH(".",$G42)))),"Email cá nhân không hợp lệ",""),IF(AND($H42&lt;&gt;"",OR(ISERROR(SEARCH("@",$H42)),ISERROR(SEARCH(".",$H42)))),"Email công ty không hợp lệ",""),IF(AND($I42&lt;&gt;"",OR(LEN($I42)&lt;9,LEN($I42)&gt;15,NOT(ISNUMBER(--$I42)))),"Số điện thoại không hợp lệ","")))</f>
        <v/>
      </c>
      <c r="C42" s="20" t="n"/>
      <c r="D42" s="21" t="n"/>
      <c r="E42" s="22" t="n"/>
      <c r="F42" s="21" t="n"/>
      <c r="G42" s="21" t="n"/>
      <c r="H42" s="21" t="n"/>
      <c r="I42" s="20" t="n"/>
      <c r="J42" s="21" t="n"/>
      <c r="K42" s="21" t="n"/>
    </row>
    <row r="43">
      <c r="A43" s="19">
        <f>IF($C43="","CHƯA NHẬP",IF($B43="","HỢP LỆ","LỖI"))</f>
        <v/>
      </c>
      <c r="B43" s="19">
        <f>IF($C43="","",TEXTJOIN(" | ",TRUE,IF($C43="","Thiếu mã nhân viên",""),IF(COUNTIF($C$6:$C$505,$C43)&gt;1,"Trùng mã nhân viên",""),IF($D43="","Thiếu họ tên",""),IF(AND($E43&lt;&gt;"",OR(NOT(ISNUMBER($E43)),$E43&lt;DATE(1940,1,1),$E43&gt;TODAY())),"Ngày sinh không hợp lệ",""),IF(AND($G43&lt;&gt;"",OR(ISERROR(SEARCH("@",$G43)),ISERROR(SEARCH(".",$G43)))),"Email cá nhân không hợp lệ",""),IF(AND($H43&lt;&gt;"",OR(ISERROR(SEARCH("@",$H43)),ISERROR(SEARCH(".",$H43)))),"Email công ty không hợp lệ",""),IF(AND($I43&lt;&gt;"",OR(LEN($I43)&lt;9,LEN($I43)&gt;15,NOT(ISNUMBER(--$I43)))),"Số điện thoại không hợp lệ","")))</f>
        <v/>
      </c>
      <c r="C43" s="20" t="n"/>
      <c r="D43" s="21" t="n"/>
      <c r="E43" s="22" t="n"/>
      <c r="F43" s="21" t="n"/>
      <c r="G43" s="21" t="n"/>
      <c r="H43" s="21" t="n"/>
      <c r="I43" s="20" t="n"/>
      <c r="J43" s="21" t="n"/>
      <c r="K43" s="21" t="n"/>
    </row>
    <row r="44">
      <c r="A44" s="19">
        <f>IF($C44="","CHƯA NHẬP",IF($B44="","HỢP LỆ","LỖI"))</f>
        <v/>
      </c>
      <c r="B44" s="19">
        <f>IF($C44="","",TEXTJOIN(" | ",TRUE,IF($C44="","Thiếu mã nhân viên",""),IF(COUNTIF($C$6:$C$505,$C44)&gt;1,"Trùng mã nhân viên",""),IF($D44="","Thiếu họ tên",""),IF(AND($E44&lt;&gt;"",OR(NOT(ISNUMBER($E44)),$E44&lt;DATE(1940,1,1),$E44&gt;TODAY())),"Ngày sinh không hợp lệ",""),IF(AND($G44&lt;&gt;"",OR(ISERROR(SEARCH("@",$G44)),ISERROR(SEARCH(".",$G44)))),"Email cá nhân không hợp lệ",""),IF(AND($H44&lt;&gt;"",OR(ISERROR(SEARCH("@",$H44)),ISERROR(SEARCH(".",$H44)))),"Email công ty không hợp lệ",""),IF(AND($I44&lt;&gt;"",OR(LEN($I44)&lt;9,LEN($I44)&gt;15,NOT(ISNUMBER(--$I44)))),"Số điện thoại không hợp lệ","")))</f>
        <v/>
      </c>
      <c r="C44" s="20" t="n"/>
      <c r="D44" s="21" t="n"/>
      <c r="E44" s="22" t="n"/>
      <c r="F44" s="21" t="n"/>
      <c r="G44" s="21" t="n"/>
      <c r="H44" s="21" t="n"/>
      <c r="I44" s="20" t="n"/>
      <c r="J44" s="21" t="n"/>
      <c r="K44" s="21" t="n"/>
    </row>
    <row r="45">
      <c r="A45" s="19">
        <f>IF($C45="","CHƯA NHẬP",IF($B45="","HỢP LỆ","LỖI"))</f>
        <v/>
      </c>
      <c r="B45" s="19">
        <f>IF($C45="","",TEXTJOIN(" | ",TRUE,IF($C45="","Thiếu mã nhân viên",""),IF(COUNTIF($C$6:$C$505,$C45)&gt;1,"Trùng mã nhân viên",""),IF($D45="","Thiếu họ tên",""),IF(AND($E45&lt;&gt;"",OR(NOT(ISNUMBER($E45)),$E45&lt;DATE(1940,1,1),$E45&gt;TODAY())),"Ngày sinh không hợp lệ",""),IF(AND($G45&lt;&gt;"",OR(ISERROR(SEARCH("@",$G45)),ISERROR(SEARCH(".",$G45)))),"Email cá nhân không hợp lệ",""),IF(AND($H45&lt;&gt;"",OR(ISERROR(SEARCH("@",$H45)),ISERROR(SEARCH(".",$H45)))),"Email công ty không hợp lệ",""),IF(AND($I45&lt;&gt;"",OR(LEN($I45)&lt;9,LEN($I45)&gt;15,NOT(ISNUMBER(--$I45)))),"Số điện thoại không hợp lệ","")))</f>
        <v/>
      </c>
      <c r="C45" s="20" t="n"/>
      <c r="D45" s="21" t="n"/>
      <c r="E45" s="22" t="n"/>
      <c r="F45" s="21" t="n"/>
      <c r="G45" s="21" t="n"/>
      <c r="H45" s="21" t="n"/>
      <c r="I45" s="20" t="n"/>
      <c r="J45" s="21" t="n"/>
      <c r="K45" s="21" t="n"/>
    </row>
    <row r="46">
      <c r="A46" s="19">
        <f>IF($C46="","CHƯA NHẬP",IF($B46="","HỢP LỆ","LỖI"))</f>
        <v/>
      </c>
      <c r="B46" s="19">
        <f>IF($C46="","",TEXTJOIN(" | ",TRUE,IF($C46="","Thiếu mã nhân viên",""),IF(COUNTIF($C$6:$C$505,$C46)&gt;1,"Trùng mã nhân viên",""),IF($D46="","Thiếu họ tên",""),IF(AND($E46&lt;&gt;"",OR(NOT(ISNUMBER($E46)),$E46&lt;DATE(1940,1,1),$E46&gt;TODAY())),"Ngày sinh không hợp lệ",""),IF(AND($G46&lt;&gt;"",OR(ISERROR(SEARCH("@",$G46)),ISERROR(SEARCH(".",$G46)))),"Email cá nhân không hợp lệ",""),IF(AND($H46&lt;&gt;"",OR(ISERROR(SEARCH("@",$H46)),ISERROR(SEARCH(".",$H46)))),"Email công ty không hợp lệ",""),IF(AND($I46&lt;&gt;"",OR(LEN($I46)&lt;9,LEN($I46)&gt;15,NOT(ISNUMBER(--$I46)))),"Số điện thoại không hợp lệ","")))</f>
        <v/>
      </c>
      <c r="C46" s="20" t="n"/>
      <c r="D46" s="21" t="n"/>
      <c r="E46" s="22" t="n"/>
      <c r="F46" s="21" t="n"/>
      <c r="G46" s="21" t="n"/>
      <c r="H46" s="21" t="n"/>
      <c r="I46" s="20" t="n"/>
      <c r="J46" s="21" t="n"/>
      <c r="K46" s="21" t="n"/>
    </row>
    <row r="47">
      <c r="A47" s="19">
        <f>IF($C47="","CHƯA NHẬP",IF($B47="","HỢP LỆ","LỖI"))</f>
        <v/>
      </c>
      <c r="B47" s="19">
        <f>IF($C47="","",TEXTJOIN(" | ",TRUE,IF($C47="","Thiếu mã nhân viên",""),IF(COUNTIF($C$6:$C$505,$C47)&gt;1,"Trùng mã nhân viên",""),IF($D47="","Thiếu họ tên",""),IF(AND($E47&lt;&gt;"",OR(NOT(ISNUMBER($E47)),$E47&lt;DATE(1940,1,1),$E47&gt;TODAY())),"Ngày sinh không hợp lệ",""),IF(AND($G47&lt;&gt;"",OR(ISERROR(SEARCH("@",$G47)),ISERROR(SEARCH(".",$G47)))),"Email cá nhân không hợp lệ",""),IF(AND($H47&lt;&gt;"",OR(ISERROR(SEARCH("@",$H47)),ISERROR(SEARCH(".",$H47)))),"Email công ty không hợp lệ",""),IF(AND($I47&lt;&gt;"",OR(LEN($I47)&lt;9,LEN($I47)&gt;15,NOT(ISNUMBER(--$I47)))),"Số điện thoại không hợp lệ","")))</f>
        <v/>
      </c>
      <c r="C47" s="20" t="n"/>
      <c r="D47" s="21" t="n"/>
      <c r="E47" s="22" t="n"/>
      <c r="F47" s="21" t="n"/>
      <c r="G47" s="21" t="n"/>
      <c r="H47" s="21" t="n"/>
      <c r="I47" s="20" t="n"/>
      <c r="J47" s="21" t="n"/>
      <c r="K47" s="21" t="n"/>
    </row>
    <row r="48">
      <c r="A48" s="19">
        <f>IF($C48="","CHƯA NHẬP",IF($B48="","HỢP LỆ","LỖI"))</f>
        <v/>
      </c>
      <c r="B48" s="19">
        <f>IF($C48="","",TEXTJOIN(" | ",TRUE,IF($C48="","Thiếu mã nhân viên",""),IF(COUNTIF($C$6:$C$505,$C48)&gt;1,"Trùng mã nhân viên",""),IF($D48="","Thiếu họ tên",""),IF(AND($E48&lt;&gt;"",OR(NOT(ISNUMBER($E48)),$E48&lt;DATE(1940,1,1),$E48&gt;TODAY())),"Ngày sinh không hợp lệ",""),IF(AND($G48&lt;&gt;"",OR(ISERROR(SEARCH("@",$G48)),ISERROR(SEARCH(".",$G48)))),"Email cá nhân không hợp lệ",""),IF(AND($H48&lt;&gt;"",OR(ISERROR(SEARCH("@",$H48)),ISERROR(SEARCH(".",$H48)))),"Email công ty không hợp lệ",""),IF(AND($I48&lt;&gt;"",OR(LEN($I48)&lt;9,LEN($I48)&gt;15,NOT(ISNUMBER(--$I48)))),"Số điện thoại không hợp lệ","")))</f>
        <v/>
      </c>
      <c r="C48" s="20" t="n"/>
      <c r="D48" s="21" t="n"/>
      <c r="E48" s="22" t="n"/>
      <c r="F48" s="21" t="n"/>
      <c r="G48" s="21" t="n"/>
      <c r="H48" s="21" t="n"/>
      <c r="I48" s="20" t="n"/>
      <c r="J48" s="21" t="n"/>
      <c r="K48" s="21" t="n"/>
    </row>
    <row r="49">
      <c r="A49" s="19">
        <f>IF($C49="","CHƯA NHẬP",IF($B49="","HỢP LỆ","LỖI"))</f>
        <v/>
      </c>
      <c r="B49" s="19">
        <f>IF($C49="","",TEXTJOIN(" | ",TRUE,IF($C49="","Thiếu mã nhân viên",""),IF(COUNTIF($C$6:$C$505,$C49)&gt;1,"Trùng mã nhân viên",""),IF($D49="","Thiếu họ tên",""),IF(AND($E49&lt;&gt;"",OR(NOT(ISNUMBER($E49)),$E49&lt;DATE(1940,1,1),$E49&gt;TODAY())),"Ngày sinh không hợp lệ",""),IF(AND($G49&lt;&gt;"",OR(ISERROR(SEARCH("@",$G49)),ISERROR(SEARCH(".",$G49)))),"Email cá nhân không hợp lệ",""),IF(AND($H49&lt;&gt;"",OR(ISERROR(SEARCH("@",$H49)),ISERROR(SEARCH(".",$H49)))),"Email công ty không hợp lệ",""),IF(AND($I49&lt;&gt;"",OR(LEN($I49)&lt;9,LEN($I49)&gt;15,NOT(ISNUMBER(--$I49)))),"Số điện thoại không hợp lệ","")))</f>
        <v/>
      </c>
      <c r="C49" s="20" t="n"/>
      <c r="D49" s="21" t="n"/>
      <c r="E49" s="22" t="n"/>
      <c r="F49" s="21" t="n"/>
      <c r="G49" s="21" t="n"/>
      <c r="H49" s="21" t="n"/>
      <c r="I49" s="20" t="n"/>
      <c r="J49" s="21" t="n"/>
      <c r="K49" s="21" t="n"/>
    </row>
    <row r="50">
      <c r="A50" s="19">
        <f>IF($C50="","CHƯA NHẬP",IF($B50="","HỢP LỆ","LỖI"))</f>
        <v/>
      </c>
      <c r="B50" s="19">
        <f>IF($C50="","",TEXTJOIN(" | ",TRUE,IF($C50="","Thiếu mã nhân viên",""),IF(COUNTIF($C$6:$C$505,$C50)&gt;1,"Trùng mã nhân viên",""),IF($D50="","Thiếu họ tên",""),IF(AND($E50&lt;&gt;"",OR(NOT(ISNUMBER($E50)),$E50&lt;DATE(1940,1,1),$E50&gt;TODAY())),"Ngày sinh không hợp lệ",""),IF(AND($G50&lt;&gt;"",OR(ISERROR(SEARCH("@",$G50)),ISERROR(SEARCH(".",$G50)))),"Email cá nhân không hợp lệ",""),IF(AND($H50&lt;&gt;"",OR(ISERROR(SEARCH("@",$H50)),ISERROR(SEARCH(".",$H50)))),"Email công ty không hợp lệ",""),IF(AND($I50&lt;&gt;"",OR(LEN($I50)&lt;9,LEN($I50)&gt;15,NOT(ISNUMBER(--$I50)))),"Số điện thoại không hợp lệ","")))</f>
        <v/>
      </c>
      <c r="C50" s="20" t="n"/>
      <c r="D50" s="21" t="n"/>
      <c r="E50" s="22" t="n"/>
      <c r="F50" s="21" t="n"/>
      <c r="G50" s="21" t="n"/>
      <c r="H50" s="21" t="n"/>
      <c r="I50" s="20" t="n"/>
      <c r="J50" s="21" t="n"/>
      <c r="K50" s="21" t="n"/>
    </row>
    <row r="51">
      <c r="A51" s="19">
        <f>IF($C51="","CHƯA NHẬP",IF($B51="","HỢP LỆ","LỖI"))</f>
        <v/>
      </c>
      <c r="B51" s="19">
        <f>IF($C51="","",TEXTJOIN(" | ",TRUE,IF($C51="","Thiếu mã nhân viên",""),IF(COUNTIF($C$6:$C$505,$C51)&gt;1,"Trùng mã nhân viên",""),IF($D51="","Thiếu họ tên",""),IF(AND($E51&lt;&gt;"",OR(NOT(ISNUMBER($E51)),$E51&lt;DATE(1940,1,1),$E51&gt;TODAY())),"Ngày sinh không hợp lệ",""),IF(AND($G51&lt;&gt;"",OR(ISERROR(SEARCH("@",$G51)),ISERROR(SEARCH(".",$G51)))),"Email cá nhân không hợp lệ",""),IF(AND($H51&lt;&gt;"",OR(ISERROR(SEARCH("@",$H51)),ISERROR(SEARCH(".",$H51)))),"Email công ty không hợp lệ",""),IF(AND($I51&lt;&gt;"",OR(LEN($I51)&lt;9,LEN($I51)&gt;15,NOT(ISNUMBER(--$I51)))),"Số điện thoại không hợp lệ","")))</f>
        <v/>
      </c>
      <c r="C51" s="20" t="n"/>
      <c r="D51" s="21" t="n"/>
      <c r="E51" s="22" t="n"/>
      <c r="F51" s="21" t="n"/>
      <c r="G51" s="21" t="n"/>
      <c r="H51" s="21" t="n"/>
      <c r="I51" s="20" t="n"/>
      <c r="J51" s="21" t="n"/>
      <c r="K51" s="21" t="n"/>
    </row>
    <row r="52">
      <c r="A52" s="19">
        <f>IF($C52="","CHƯA NHẬP",IF($B52="","HỢP LỆ","LỖI"))</f>
        <v/>
      </c>
      <c r="B52" s="19">
        <f>IF($C52="","",TEXTJOIN(" | ",TRUE,IF($C52="","Thiếu mã nhân viên",""),IF(COUNTIF($C$6:$C$505,$C52)&gt;1,"Trùng mã nhân viên",""),IF($D52="","Thiếu họ tên",""),IF(AND($E52&lt;&gt;"",OR(NOT(ISNUMBER($E52)),$E52&lt;DATE(1940,1,1),$E52&gt;TODAY())),"Ngày sinh không hợp lệ",""),IF(AND($G52&lt;&gt;"",OR(ISERROR(SEARCH("@",$G52)),ISERROR(SEARCH(".",$G52)))),"Email cá nhân không hợp lệ",""),IF(AND($H52&lt;&gt;"",OR(ISERROR(SEARCH("@",$H52)),ISERROR(SEARCH(".",$H52)))),"Email công ty không hợp lệ",""),IF(AND($I52&lt;&gt;"",OR(LEN($I52)&lt;9,LEN($I52)&gt;15,NOT(ISNUMBER(--$I52)))),"Số điện thoại không hợp lệ","")))</f>
        <v/>
      </c>
      <c r="C52" s="20" t="n"/>
      <c r="D52" s="21" t="n"/>
      <c r="E52" s="22" t="n"/>
      <c r="F52" s="21" t="n"/>
      <c r="G52" s="21" t="n"/>
      <c r="H52" s="21" t="n"/>
      <c r="I52" s="20" t="n"/>
      <c r="J52" s="21" t="n"/>
      <c r="K52" s="21" t="n"/>
    </row>
    <row r="53">
      <c r="A53" s="19">
        <f>IF($C53="","CHƯA NHẬP",IF($B53="","HỢP LỆ","LỖI"))</f>
        <v/>
      </c>
      <c r="B53" s="19">
        <f>IF($C53="","",TEXTJOIN(" | ",TRUE,IF($C53="","Thiếu mã nhân viên",""),IF(COUNTIF($C$6:$C$505,$C53)&gt;1,"Trùng mã nhân viên",""),IF($D53="","Thiếu họ tên",""),IF(AND($E53&lt;&gt;"",OR(NOT(ISNUMBER($E53)),$E53&lt;DATE(1940,1,1),$E53&gt;TODAY())),"Ngày sinh không hợp lệ",""),IF(AND($G53&lt;&gt;"",OR(ISERROR(SEARCH("@",$G53)),ISERROR(SEARCH(".",$G53)))),"Email cá nhân không hợp lệ",""),IF(AND($H53&lt;&gt;"",OR(ISERROR(SEARCH("@",$H53)),ISERROR(SEARCH(".",$H53)))),"Email công ty không hợp lệ",""),IF(AND($I53&lt;&gt;"",OR(LEN($I53)&lt;9,LEN($I53)&gt;15,NOT(ISNUMBER(--$I53)))),"Số điện thoại không hợp lệ","")))</f>
        <v/>
      </c>
      <c r="C53" s="20" t="n"/>
      <c r="D53" s="21" t="n"/>
      <c r="E53" s="22" t="n"/>
      <c r="F53" s="21" t="n"/>
      <c r="G53" s="21" t="n"/>
      <c r="H53" s="21" t="n"/>
      <c r="I53" s="20" t="n"/>
      <c r="J53" s="21" t="n"/>
      <c r="K53" s="21" t="n"/>
    </row>
    <row r="54">
      <c r="A54" s="19">
        <f>IF($C54="","CHƯA NHẬP",IF($B54="","HỢP LỆ","LỖI"))</f>
        <v/>
      </c>
      <c r="B54" s="19">
        <f>IF($C54="","",TEXTJOIN(" | ",TRUE,IF($C54="","Thiếu mã nhân viên",""),IF(COUNTIF($C$6:$C$505,$C54)&gt;1,"Trùng mã nhân viên",""),IF($D54="","Thiếu họ tên",""),IF(AND($E54&lt;&gt;"",OR(NOT(ISNUMBER($E54)),$E54&lt;DATE(1940,1,1),$E54&gt;TODAY())),"Ngày sinh không hợp lệ",""),IF(AND($G54&lt;&gt;"",OR(ISERROR(SEARCH("@",$G54)),ISERROR(SEARCH(".",$G54)))),"Email cá nhân không hợp lệ",""),IF(AND($H54&lt;&gt;"",OR(ISERROR(SEARCH("@",$H54)),ISERROR(SEARCH(".",$H54)))),"Email công ty không hợp lệ",""),IF(AND($I54&lt;&gt;"",OR(LEN($I54)&lt;9,LEN($I54)&gt;15,NOT(ISNUMBER(--$I54)))),"Số điện thoại không hợp lệ","")))</f>
        <v/>
      </c>
      <c r="C54" s="20" t="n"/>
      <c r="D54" s="21" t="n"/>
      <c r="E54" s="22" t="n"/>
      <c r="F54" s="21" t="n"/>
      <c r="G54" s="21" t="n"/>
      <c r="H54" s="21" t="n"/>
      <c r="I54" s="20" t="n"/>
      <c r="J54" s="21" t="n"/>
      <c r="K54" s="21" t="n"/>
    </row>
    <row r="55">
      <c r="A55" s="19">
        <f>IF($C55="","CHƯA NHẬP",IF($B55="","HỢP LỆ","LỖI"))</f>
        <v/>
      </c>
      <c r="B55" s="19">
        <f>IF($C55="","",TEXTJOIN(" | ",TRUE,IF($C55="","Thiếu mã nhân viên",""),IF(COUNTIF($C$6:$C$505,$C55)&gt;1,"Trùng mã nhân viên",""),IF($D55="","Thiếu họ tên",""),IF(AND($E55&lt;&gt;"",OR(NOT(ISNUMBER($E55)),$E55&lt;DATE(1940,1,1),$E55&gt;TODAY())),"Ngày sinh không hợp lệ",""),IF(AND($G55&lt;&gt;"",OR(ISERROR(SEARCH("@",$G55)),ISERROR(SEARCH(".",$G55)))),"Email cá nhân không hợp lệ",""),IF(AND($H55&lt;&gt;"",OR(ISERROR(SEARCH("@",$H55)),ISERROR(SEARCH(".",$H55)))),"Email công ty không hợp lệ",""),IF(AND($I55&lt;&gt;"",OR(LEN($I55)&lt;9,LEN($I55)&gt;15,NOT(ISNUMBER(--$I55)))),"Số điện thoại không hợp lệ","")))</f>
        <v/>
      </c>
      <c r="C55" s="20" t="n"/>
      <c r="D55" s="21" t="n"/>
      <c r="E55" s="22" t="n"/>
      <c r="F55" s="21" t="n"/>
      <c r="G55" s="21" t="n"/>
      <c r="H55" s="21" t="n"/>
      <c r="I55" s="20" t="n"/>
      <c r="J55" s="21" t="n"/>
      <c r="K55" s="21" t="n"/>
    </row>
    <row r="56">
      <c r="A56" s="19">
        <f>IF($C56="","CHƯA NHẬP",IF($B56="","HỢP LỆ","LỖI"))</f>
        <v/>
      </c>
      <c r="B56" s="19">
        <f>IF($C56="","",TEXTJOIN(" | ",TRUE,IF($C56="","Thiếu mã nhân viên",""),IF(COUNTIF($C$6:$C$505,$C56)&gt;1,"Trùng mã nhân viên",""),IF($D56="","Thiếu họ tên",""),IF(AND($E56&lt;&gt;"",OR(NOT(ISNUMBER($E56)),$E56&lt;DATE(1940,1,1),$E56&gt;TODAY())),"Ngày sinh không hợp lệ",""),IF(AND($G56&lt;&gt;"",OR(ISERROR(SEARCH("@",$G56)),ISERROR(SEARCH(".",$G56)))),"Email cá nhân không hợp lệ",""),IF(AND($H56&lt;&gt;"",OR(ISERROR(SEARCH("@",$H56)),ISERROR(SEARCH(".",$H56)))),"Email công ty không hợp lệ",""),IF(AND($I56&lt;&gt;"",OR(LEN($I56)&lt;9,LEN($I56)&gt;15,NOT(ISNUMBER(--$I56)))),"Số điện thoại không hợp lệ","")))</f>
        <v/>
      </c>
      <c r="C56" s="20" t="n"/>
      <c r="D56" s="21" t="n"/>
      <c r="E56" s="22" t="n"/>
      <c r="F56" s="21" t="n"/>
      <c r="G56" s="21" t="n"/>
      <c r="H56" s="21" t="n"/>
      <c r="I56" s="20" t="n"/>
      <c r="J56" s="21" t="n"/>
      <c r="K56" s="21" t="n"/>
    </row>
    <row r="57">
      <c r="A57" s="19">
        <f>IF($C57="","CHƯA NHẬP",IF($B57="","HỢP LỆ","LỖI"))</f>
        <v/>
      </c>
      <c r="B57" s="19">
        <f>IF($C57="","",TEXTJOIN(" | ",TRUE,IF($C57="","Thiếu mã nhân viên",""),IF(COUNTIF($C$6:$C$505,$C57)&gt;1,"Trùng mã nhân viên",""),IF($D57="","Thiếu họ tên",""),IF(AND($E57&lt;&gt;"",OR(NOT(ISNUMBER($E57)),$E57&lt;DATE(1940,1,1),$E57&gt;TODAY())),"Ngày sinh không hợp lệ",""),IF(AND($G57&lt;&gt;"",OR(ISERROR(SEARCH("@",$G57)),ISERROR(SEARCH(".",$G57)))),"Email cá nhân không hợp lệ",""),IF(AND($H57&lt;&gt;"",OR(ISERROR(SEARCH("@",$H57)),ISERROR(SEARCH(".",$H57)))),"Email công ty không hợp lệ",""),IF(AND($I57&lt;&gt;"",OR(LEN($I57)&lt;9,LEN($I57)&gt;15,NOT(ISNUMBER(--$I57)))),"Số điện thoại không hợp lệ","")))</f>
        <v/>
      </c>
      <c r="C57" s="20" t="n"/>
      <c r="D57" s="21" t="n"/>
      <c r="E57" s="22" t="n"/>
      <c r="F57" s="21" t="n"/>
      <c r="G57" s="21" t="n"/>
      <c r="H57" s="21" t="n"/>
      <c r="I57" s="20" t="n"/>
      <c r="J57" s="21" t="n"/>
      <c r="K57" s="21" t="n"/>
    </row>
    <row r="58">
      <c r="A58" s="19">
        <f>IF($C58="","CHƯA NHẬP",IF($B58="","HỢP LỆ","LỖI"))</f>
        <v/>
      </c>
      <c r="B58" s="19">
        <f>IF($C58="","",TEXTJOIN(" | ",TRUE,IF($C58="","Thiếu mã nhân viên",""),IF(COUNTIF($C$6:$C$505,$C58)&gt;1,"Trùng mã nhân viên",""),IF($D58="","Thiếu họ tên",""),IF(AND($E58&lt;&gt;"",OR(NOT(ISNUMBER($E58)),$E58&lt;DATE(1940,1,1),$E58&gt;TODAY())),"Ngày sinh không hợp lệ",""),IF(AND($G58&lt;&gt;"",OR(ISERROR(SEARCH("@",$G58)),ISERROR(SEARCH(".",$G58)))),"Email cá nhân không hợp lệ",""),IF(AND($H58&lt;&gt;"",OR(ISERROR(SEARCH("@",$H58)),ISERROR(SEARCH(".",$H58)))),"Email công ty không hợp lệ",""),IF(AND($I58&lt;&gt;"",OR(LEN($I58)&lt;9,LEN($I58)&gt;15,NOT(ISNUMBER(--$I58)))),"Số điện thoại không hợp lệ","")))</f>
        <v/>
      </c>
      <c r="C58" s="20" t="n"/>
      <c r="D58" s="21" t="n"/>
      <c r="E58" s="22" t="n"/>
      <c r="F58" s="21" t="n"/>
      <c r="G58" s="21" t="n"/>
      <c r="H58" s="21" t="n"/>
      <c r="I58" s="20" t="n"/>
      <c r="J58" s="21" t="n"/>
      <c r="K58" s="21" t="n"/>
    </row>
    <row r="59">
      <c r="A59" s="19">
        <f>IF($C59="","CHƯA NHẬP",IF($B59="","HỢP LỆ","LỖI"))</f>
        <v/>
      </c>
      <c r="B59" s="19">
        <f>IF($C59="","",TEXTJOIN(" | ",TRUE,IF($C59="","Thiếu mã nhân viên",""),IF(COUNTIF($C$6:$C$505,$C59)&gt;1,"Trùng mã nhân viên",""),IF($D59="","Thiếu họ tên",""),IF(AND($E59&lt;&gt;"",OR(NOT(ISNUMBER($E59)),$E59&lt;DATE(1940,1,1),$E59&gt;TODAY())),"Ngày sinh không hợp lệ",""),IF(AND($G59&lt;&gt;"",OR(ISERROR(SEARCH("@",$G59)),ISERROR(SEARCH(".",$G59)))),"Email cá nhân không hợp lệ",""),IF(AND($H59&lt;&gt;"",OR(ISERROR(SEARCH("@",$H59)),ISERROR(SEARCH(".",$H59)))),"Email công ty không hợp lệ",""),IF(AND($I59&lt;&gt;"",OR(LEN($I59)&lt;9,LEN($I59)&gt;15,NOT(ISNUMBER(--$I59)))),"Số điện thoại không hợp lệ","")))</f>
        <v/>
      </c>
      <c r="C59" s="20" t="n"/>
      <c r="D59" s="21" t="n"/>
      <c r="E59" s="22" t="n"/>
      <c r="F59" s="21" t="n"/>
      <c r="G59" s="21" t="n"/>
      <c r="H59" s="21" t="n"/>
      <c r="I59" s="20" t="n"/>
      <c r="J59" s="21" t="n"/>
      <c r="K59" s="21" t="n"/>
    </row>
    <row r="60">
      <c r="A60" s="19">
        <f>IF($C60="","CHƯA NHẬP",IF($B60="","HỢP LỆ","LỖI"))</f>
        <v/>
      </c>
      <c r="B60" s="19">
        <f>IF($C60="","",TEXTJOIN(" | ",TRUE,IF($C60="","Thiếu mã nhân viên",""),IF(COUNTIF($C$6:$C$505,$C60)&gt;1,"Trùng mã nhân viên",""),IF($D60="","Thiếu họ tên",""),IF(AND($E60&lt;&gt;"",OR(NOT(ISNUMBER($E60)),$E60&lt;DATE(1940,1,1),$E60&gt;TODAY())),"Ngày sinh không hợp lệ",""),IF(AND($G60&lt;&gt;"",OR(ISERROR(SEARCH("@",$G60)),ISERROR(SEARCH(".",$G60)))),"Email cá nhân không hợp lệ",""),IF(AND($H60&lt;&gt;"",OR(ISERROR(SEARCH("@",$H60)),ISERROR(SEARCH(".",$H60)))),"Email công ty không hợp lệ",""),IF(AND($I60&lt;&gt;"",OR(LEN($I60)&lt;9,LEN($I60)&gt;15,NOT(ISNUMBER(--$I60)))),"Số điện thoại không hợp lệ","")))</f>
        <v/>
      </c>
      <c r="C60" s="20" t="n"/>
      <c r="D60" s="21" t="n"/>
      <c r="E60" s="22" t="n"/>
      <c r="F60" s="21" t="n"/>
      <c r="G60" s="21" t="n"/>
      <c r="H60" s="21" t="n"/>
      <c r="I60" s="20" t="n"/>
      <c r="J60" s="21" t="n"/>
      <c r="K60" s="21" t="n"/>
    </row>
    <row r="61">
      <c r="A61" s="19">
        <f>IF($C61="","CHƯA NHẬP",IF($B61="","HỢP LỆ","LỖI"))</f>
        <v/>
      </c>
      <c r="B61" s="19">
        <f>IF($C61="","",TEXTJOIN(" | ",TRUE,IF($C61="","Thiếu mã nhân viên",""),IF(COUNTIF($C$6:$C$505,$C61)&gt;1,"Trùng mã nhân viên",""),IF($D61="","Thiếu họ tên",""),IF(AND($E61&lt;&gt;"",OR(NOT(ISNUMBER($E61)),$E61&lt;DATE(1940,1,1),$E61&gt;TODAY())),"Ngày sinh không hợp lệ",""),IF(AND($G61&lt;&gt;"",OR(ISERROR(SEARCH("@",$G61)),ISERROR(SEARCH(".",$G61)))),"Email cá nhân không hợp lệ",""),IF(AND($H61&lt;&gt;"",OR(ISERROR(SEARCH("@",$H61)),ISERROR(SEARCH(".",$H61)))),"Email công ty không hợp lệ",""),IF(AND($I61&lt;&gt;"",OR(LEN($I61)&lt;9,LEN($I61)&gt;15,NOT(ISNUMBER(--$I61)))),"Số điện thoại không hợp lệ","")))</f>
        <v/>
      </c>
      <c r="C61" s="20" t="n"/>
      <c r="D61" s="21" t="n"/>
      <c r="E61" s="22" t="n"/>
      <c r="F61" s="21" t="n"/>
      <c r="G61" s="21" t="n"/>
      <c r="H61" s="21" t="n"/>
      <c r="I61" s="20" t="n"/>
      <c r="J61" s="21" t="n"/>
      <c r="K61" s="21" t="n"/>
    </row>
    <row r="62">
      <c r="A62" s="19">
        <f>IF($C62="","CHƯA NHẬP",IF($B62="","HỢP LỆ","LỖI"))</f>
        <v/>
      </c>
      <c r="B62" s="19">
        <f>IF($C62="","",TEXTJOIN(" | ",TRUE,IF($C62="","Thiếu mã nhân viên",""),IF(COUNTIF($C$6:$C$505,$C62)&gt;1,"Trùng mã nhân viên",""),IF($D62="","Thiếu họ tên",""),IF(AND($E62&lt;&gt;"",OR(NOT(ISNUMBER($E62)),$E62&lt;DATE(1940,1,1),$E62&gt;TODAY())),"Ngày sinh không hợp lệ",""),IF(AND($G62&lt;&gt;"",OR(ISERROR(SEARCH("@",$G62)),ISERROR(SEARCH(".",$G62)))),"Email cá nhân không hợp lệ",""),IF(AND($H62&lt;&gt;"",OR(ISERROR(SEARCH("@",$H62)),ISERROR(SEARCH(".",$H62)))),"Email công ty không hợp lệ",""),IF(AND($I62&lt;&gt;"",OR(LEN($I62)&lt;9,LEN($I62)&gt;15,NOT(ISNUMBER(--$I62)))),"Số điện thoại không hợp lệ","")))</f>
        <v/>
      </c>
      <c r="C62" s="20" t="n"/>
      <c r="D62" s="21" t="n"/>
      <c r="E62" s="22" t="n"/>
      <c r="F62" s="21" t="n"/>
      <c r="G62" s="21" t="n"/>
      <c r="H62" s="21" t="n"/>
      <c r="I62" s="20" t="n"/>
      <c r="J62" s="21" t="n"/>
      <c r="K62" s="21" t="n"/>
    </row>
    <row r="63">
      <c r="A63" s="19">
        <f>IF($C63="","CHƯA NHẬP",IF($B63="","HỢP LỆ","LỖI"))</f>
        <v/>
      </c>
      <c r="B63" s="19">
        <f>IF($C63="","",TEXTJOIN(" | ",TRUE,IF($C63="","Thiếu mã nhân viên",""),IF(COUNTIF($C$6:$C$505,$C63)&gt;1,"Trùng mã nhân viên",""),IF($D63="","Thiếu họ tên",""),IF(AND($E63&lt;&gt;"",OR(NOT(ISNUMBER($E63)),$E63&lt;DATE(1940,1,1),$E63&gt;TODAY())),"Ngày sinh không hợp lệ",""),IF(AND($G63&lt;&gt;"",OR(ISERROR(SEARCH("@",$G63)),ISERROR(SEARCH(".",$G63)))),"Email cá nhân không hợp lệ",""),IF(AND($H63&lt;&gt;"",OR(ISERROR(SEARCH("@",$H63)),ISERROR(SEARCH(".",$H63)))),"Email công ty không hợp lệ",""),IF(AND($I63&lt;&gt;"",OR(LEN($I63)&lt;9,LEN($I63)&gt;15,NOT(ISNUMBER(--$I63)))),"Số điện thoại không hợp lệ","")))</f>
        <v/>
      </c>
      <c r="C63" s="20" t="n"/>
      <c r="D63" s="21" t="n"/>
      <c r="E63" s="22" t="n"/>
      <c r="F63" s="21" t="n"/>
      <c r="G63" s="21" t="n"/>
      <c r="H63" s="21" t="n"/>
      <c r="I63" s="20" t="n"/>
      <c r="J63" s="21" t="n"/>
      <c r="K63" s="21" t="n"/>
    </row>
    <row r="64">
      <c r="A64" s="19">
        <f>IF($C64="","CHƯA NHẬP",IF($B64="","HỢP LỆ","LỖI"))</f>
        <v/>
      </c>
      <c r="B64" s="19">
        <f>IF($C64="","",TEXTJOIN(" | ",TRUE,IF($C64="","Thiếu mã nhân viên",""),IF(COUNTIF($C$6:$C$505,$C64)&gt;1,"Trùng mã nhân viên",""),IF($D64="","Thiếu họ tên",""),IF(AND($E64&lt;&gt;"",OR(NOT(ISNUMBER($E64)),$E64&lt;DATE(1940,1,1),$E64&gt;TODAY())),"Ngày sinh không hợp lệ",""),IF(AND($G64&lt;&gt;"",OR(ISERROR(SEARCH("@",$G64)),ISERROR(SEARCH(".",$G64)))),"Email cá nhân không hợp lệ",""),IF(AND($H64&lt;&gt;"",OR(ISERROR(SEARCH("@",$H64)),ISERROR(SEARCH(".",$H64)))),"Email công ty không hợp lệ",""),IF(AND($I64&lt;&gt;"",OR(LEN($I64)&lt;9,LEN($I64)&gt;15,NOT(ISNUMBER(--$I64)))),"Số điện thoại không hợp lệ","")))</f>
        <v/>
      </c>
      <c r="C64" s="20" t="n"/>
      <c r="D64" s="21" t="n"/>
      <c r="E64" s="22" t="n"/>
      <c r="F64" s="21" t="n"/>
      <c r="G64" s="21" t="n"/>
      <c r="H64" s="21" t="n"/>
      <c r="I64" s="20" t="n"/>
      <c r="J64" s="21" t="n"/>
      <c r="K64" s="21" t="n"/>
    </row>
    <row r="65">
      <c r="A65" s="19">
        <f>IF($C65="","CHƯA NHẬP",IF($B65="","HỢP LỆ","LỖI"))</f>
        <v/>
      </c>
      <c r="B65" s="19">
        <f>IF($C65="","",TEXTJOIN(" | ",TRUE,IF($C65="","Thiếu mã nhân viên",""),IF(COUNTIF($C$6:$C$505,$C65)&gt;1,"Trùng mã nhân viên",""),IF($D65="","Thiếu họ tên",""),IF(AND($E65&lt;&gt;"",OR(NOT(ISNUMBER($E65)),$E65&lt;DATE(1940,1,1),$E65&gt;TODAY())),"Ngày sinh không hợp lệ",""),IF(AND($G65&lt;&gt;"",OR(ISERROR(SEARCH("@",$G65)),ISERROR(SEARCH(".",$G65)))),"Email cá nhân không hợp lệ",""),IF(AND($H65&lt;&gt;"",OR(ISERROR(SEARCH("@",$H65)),ISERROR(SEARCH(".",$H65)))),"Email công ty không hợp lệ",""),IF(AND($I65&lt;&gt;"",OR(LEN($I65)&lt;9,LEN($I65)&gt;15,NOT(ISNUMBER(--$I65)))),"Số điện thoại không hợp lệ","")))</f>
        <v/>
      </c>
      <c r="C65" s="20" t="n"/>
      <c r="D65" s="21" t="n"/>
      <c r="E65" s="22" t="n"/>
      <c r="F65" s="21" t="n"/>
      <c r="G65" s="21" t="n"/>
      <c r="H65" s="21" t="n"/>
      <c r="I65" s="20" t="n"/>
      <c r="J65" s="21" t="n"/>
      <c r="K65" s="21" t="n"/>
    </row>
    <row r="66">
      <c r="A66" s="19">
        <f>IF($C66="","CHƯA NHẬP",IF($B66="","HỢP LỆ","LỖI"))</f>
        <v/>
      </c>
      <c r="B66" s="19">
        <f>IF($C66="","",TEXTJOIN(" | ",TRUE,IF($C66="","Thiếu mã nhân viên",""),IF(COUNTIF($C$6:$C$505,$C66)&gt;1,"Trùng mã nhân viên",""),IF($D66="","Thiếu họ tên",""),IF(AND($E66&lt;&gt;"",OR(NOT(ISNUMBER($E66)),$E66&lt;DATE(1940,1,1),$E66&gt;TODAY())),"Ngày sinh không hợp lệ",""),IF(AND($G66&lt;&gt;"",OR(ISERROR(SEARCH("@",$G66)),ISERROR(SEARCH(".",$G66)))),"Email cá nhân không hợp lệ",""),IF(AND($H66&lt;&gt;"",OR(ISERROR(SEARCH("@",$H66)),ISERROR(SEARCH(".",$H66)))),"Email công ty không hợp lệ",""),IF(AND($I66&lt;&gt;"",OR(LEN($I66)&lt;9,LEN($I66)&gt;15,NOT(ISNUMBER(--$I66)))),"Số điện thoại không hợp lệ","")))</f>
        <v/>
      </c>
      <c r="C66" s="20" t="n"/>
      <c r="D66" s="21" t="n"/>
      <c r="E66" s="22" t="n"/>
      <c r="F66" s="21" t="n"/>
      <c r="G66" s="21" t="n"/>
      <c r="H66" s="21" t="n"/>
      <c r="I66" s="20" t="n"/>
      <c r="J66" s="21" t="n"/>
      <c r="K66" s="21" t="n"/>
    </row>
    <row r="67">
      <c r="A67" s="19">
        <f>IF($C67="","CHƯA NHẬP",IF($B67="","HỢP LỆ","LỖI"))</f>
        <v/>
      </c>
      <c r="B67" s="19">
        <f>IF($C67="","",TEXTJOIN(" | ",TRUE,IF($C67="","Thiếu mã nhân viên",""),IF(COUNTIF($C$6:$C$505,$C67)&gt;1,"Trùng mã nhân viên",""),IF($D67="","Thiếu họ tên",""),IF(AND($E67&lt;&gt;"",OR(NOT(ISNUMBER($E67)),$E67&lt;DATE(1940,1,1),$E67&gt;TODAY())),"Ngày sinh không hợp lệ",""),IF(AND($G67&lt;&gt;"",OR(ISERROR(SEARCH("@",$G67)),ISERROR(SEARCH(".",$G67)))),"Email cá nhân không hợp lệ",""),IF(AND($H67&lt;&gt;"",OR(ISERROR(SEARCH("@",$H67)),ISERROR(SEARCH(".",$H67)))),"Email công ty không hợp lệ",""),IF(AND($I67&lt;&gt;"",OR(LEN($I67)&lt;9,LEN($I67)&gt;15,NOT(ISNUMBER(--$I67)))),"Số điện thoại không hợp lệ","")))</f>
        <v/>
      </c>
      <c r="C67" s="20" t="n"/>
      <c r="D67" s="21" t="n"/>
      <c r="E67" s="22" t="n"/>
      <c r="F67" s="21" t="n"/>
      <c r="G67" s="21" t="n"/>
      <c r="H67" s="21" t="n"/>
      <c r="I67" s="20" t="n"/>
      <c r="J67" s="21" t="n"/>
      <c r="K67" s="21" t="n"/>
    </row>
    <row r="68">
      <c r="A68" s="19">
        <f>IF($C68="","CHƯA NHẬP",IF($B68="","HỢP LỆ","LỖI"))</f>
        <v/>
      </c>
      <c r="B68" s="19">
        <f>IF($C68="","",TEXTJOIN(" | ",TRUE,IF($C68="","Thiếu mã nhân viên",""),IF(COUNTIF($C$6:$C$505,$C68)&gt;1,"Trùng mã nhân viên",""),IF($D68="","Thiếu họ tên",""),IF(AND($E68&lt;&gt;"",OR(NOT(ISNUMBER($E68)),$E68&lt;DATE(1940,1,1),$E68&gt;TODAY())),"Ngày sinh không hợp lệ",""),IF(AND($G68&lt;&gt;"",OR(ISERROR(SEARCH("@",$G68)),ISERROR(SEARCH(".",$G68)))),"Email cá nhân không hợp lệ",""),IF(AND($H68&lt;&gt;"",OR(ISERROR(SEARCH("@",$H68)),ISERROR(SEARCH(".",$H68)))),"Email công ty không hợp lệ",""),IF(AND($I68&lt;&gt;"",OR(LEN($I68)&lt;9,LEN($I68)&gt;15,NOT(ISNUMBER(--$I68)))),"Số điện thoại không hợp lệ","")))</f>
        <v/>
      </c>
      <c r="C68" s="20" t="n"/>
      <c r="D68" s="21" t="n"/>
      <c r="E68" s="22" t="n"/>
      <c r="F68" s="21" t="n"/>
      <c r="G68" s="21" t="n"/>
      <c r="H68" s="21" t="n"/>
      <c r="I68" s="20" t="n"/>
      <c r="J68" s="21" t="n"/>
      <c r="K68" s="21" t="n"/>
    </row>
    <row r="69">
      <c r="A69" s="19">
        <f>IF($C69="","CHƯA NHẬP",IF($B69="","HỢP LỆ","LỖI"))</f>
        <v/>
      </c>
      <c r="B69" s="19">
        <f>IF($C69="","",TEXTJOIN(" | ",TRUE,IF($C69="","Thiếu mã nhân viên",""),IF(COUNTIF($C$6:$C$505,$C69)&gt;1,"Trùng mã nhân viên",""),IF($D69="","Thiếu họ tên",""),IF(AND($E69&lt;&gt;"",OR(NOT(ISNUMBER($E69)),$E69&lt;DATE(1940,1,1),$E69&gt;TODAY())),"Ngày sinh không hợp lệ",""),IF(AND($G69&lt;&gt;"",OR(ISERROR(SEARCH("@",$G69)),ISERROR(SEARCH(".",$G69)))),"Email cá nhân không hợp lệ",""),IF(AND($H69&lt;&gt;"",OR(ISERROR(SEARCH("@",$H69)),ISERROR(SEARCH(".",$H69)))),"Email công ty không hợp lệ",""),IF(AND($I69&lt;&gt;"",OR(LEN($I69)&lt;9,LEN($I69)&gt;15,NOT(ISNUMBER(--$I69)))),"Số điện thoại không hợp lệ","")))</f>
        <v/>
      </c>
      <c r="C69" s="20" t="n"/>
      <c r="D69" s="21" t="n"/>
      <c r="E69" s="22" t="n"/>
      <c r="F69" s="21" t="n"/>
      <c r="G69" s="21" t="n"/>
      <c r="H69" s="21" t="n"/>
      <c r="I69" s="20" t="n"/>
      <c r="J69" s="21" t="n"/>
      <c r="K69" s="21" t="n"/>
    </row>
    <row r="70">
      <c r="A70" s="19">
        <f>IF($C70="","CHƯA NHẬP",IF($B70="","HỢP LỆ","LỖI"))</f>
        <v/>
      </c>
      <c r="B70" s="19">
        <f>IF($C70="","",TEXTJOIN(" | ",TRUE,IF($C70="","Thiếu mã nhân viên",""),IF(COUNTIF($C$6:$C$505,$C70)&gt;1,"Trùng mã nhân viên",""),IF($D70="","Thiếu họ tên",""),IF(AND($E70&lt;&gt;"",OR(NOT(ISNUMBER($E70)),$E70&lt;DATE(1940,1,1),$E70&gt;TODAY())),"Ngày sinh không hợp lệ",""),IF(AND($G70&lt;&gt;"",OR(ISERROR(SEARCH("@",$G70)),ISERROR(SEARCH(".",$G70)))),"Email cá nhân không hợp lệ",""),IF(AND($H70&lt;&gt;"",OR(ISERROR(SEARCH("@",$H70)),ISERROR(SEARCH(".",$H70)))),"Email công ty không hợp lệ",""),IF(AND($I70&lt;&gt;"",OR(LEN($I70)&lt;9,LEN($I70)&gt;15,NOT(ISNUMBER(--$I70)))),"Số điện thoại không hợp lệ","")))</f>
        <v/>
      </c>
      <c r="C70" s="20" t="n"/>
      <c r="D70" s="21" t="n"/>
      <c r="E70" s="22" t="n"/>
      <c r="F70" s="21" t="n"/>
      <c r="G70" s="21" t="n"/>
      <c r="H70" s="21" t="n"/>
      <c r="I70" s="20" t="n"/>
      <c r="J70" s="21" t="n"/>
      <c r="K70" s="21" t="n"/>
    </row>
    <row r="71">
      <c r="A71" s="19">
        <f>IF($C71="","CHƯA NHẬP",IF($B71="","HỢP LỆ","LỖI"))</f>
        <v/>
      </c>
      <c r="B71" s="19">
        <f>IF($C71="","",TEXTJOIN(" | ",TRUE,IF($C71="","Thiếu mã nhân viên",""),IF(COUNTIF($C$6:$C$505,$C71)&gt;1,"Trùng mã nhân viên",""),IF($D71="","Thiếu họ tên",""),IF(AND($E71&lt;&gt;"",OR(NOT(ISNUMBER($E71)),$E71&lt;DATE(1940,1,1),$E71&gt;TODAY())),"Ngày sinh không hợp lệ",""),IF(AND($G71&lt;&gt;"",OR(ISERROR(SEARCH("@",$G71)),ISERROR(SEARCH(".",$G71)))),"Email cá nhân không hợp lệ",""),IF(AND($H71&lt;&gt;"",OR(ISERROR(SEARCH("@",$H71)),ISERROR(SEARCH(".",$H71)))),"Email công ty không hợp lệ",""),IF(AND($I71&lt;&gt;"",OR(LEN($I71)&lt;9,LEN($I71)&gt;15,NOT(ISNUMBER(--$I71)))),"Số điện thoại không hợp lệ","")))</f>
        <v/>
      </c>
      <c r="C71" s="20" t="n"/>
      <c r="D71" s="21" t="n"/>
      <c r="E71" s="22" t="n"/>
      <c r="F71" s="21" t="n"/>
      <c r="G71" s="21" t="n"/>
      <c r="H71" s="21" t="n"/>
      <c r="I71" s="20" t="n"/>
      <c r="J71" s="21" t="n"/>
      <c r="K71" s="21" t="n"/>
    </row>
    <row r="72">
      <c r="A72" s="19">
        <f>IF($C72="","CHƯA NHẬP",IF($B72="","HỢP LỆ","LỖI"))</f>
        <v/>
      </c>
      <c r="B72" s="19">
        <f>IF($C72="","",TEXTJOIN(" | ",TRUE,IF($C72="","Thiếu mã nhân viên",""),IF(COUNTIF($C$6:$C$505,$C72)&gt;1,"Trùng mã nhân viên",""),IF($D72="","Thiếu họ tên",""),IF(AND($E72&lt;&gt;"",OR(NOT(ISNUMBER($E72)),$E72&lt;DATE(1940,1,1),$E72&gt;TODAY())),"Ngày sinh không hợp lệ",""),IF(AND($G72&lt;&gt;"",OR(ISERROR(SEARCH("@",$G72)),ISERROR(SEARCH(".",$G72)))),"Email cá nhân không hợp lệ",""),IF(AND($H72&lt;&gt;"",OR(ISERROR(SEARCH("@",$H72)),ISERROR(SEARCH(".",$H72)))),"Email công ty không hợp lệ",""),IF(AND($I72&lt;&gt;"",OR(LEN($I72)&lt;9,LEN($I72)&gt;15,NOT(ISNUMBER(--$I72)))),"Số điện thoại không hợp lệ","")))</f>
        <v/>
      </c>
      <c r="C72" s="20" t="n"/>
      <c r="D72" s="21" t="n"/>
      <c r="E72" s="22" t="n"/>
      <c r="F72" s="21" t="n"/>
      <c r="G72" s="21" t="n"/>
      <c r="H72" s="21" t="n"/>
      <c r="I72" s="20" t="n"/>
      <c r="J72" s="21" t="n"/>
      <c r="K72" s="21" t="n"/>
    </row>
    <row r="73">
      <c r="A73" s="19">
        <f>IF($C73="","CHƯA NHẬP",IF($B73="","HỢP LỆ","LỖI"))</f>
        <v/>
      </c>
      <c r="B73" s="19">
        <f>IF($C73="","",TEXTJOIN(" | ",TRUE,IF($C73="","Thiếu mã nhân viên",""),IF(COUNTIF($C$6:$C$505,$C73)&gt;1,"Trùng mã nhân viên",""),IF($D73="","Thiếu họ tên",""),IF(AND($E73&lt;&gt;"",OR(NOT(ISNUMBER($E73)),$E73&lt;DATE(1940,1,1),$E73&gt;TODAY())),"Ngày sinh không hợp lệ",""),IF(AND($G73&lt;&gt;"",OR(ISERROR(SEARCH("@",$G73)),ISERROR(SEARCH(".",$G73)))),"Email cá nhân không hợp lệ",""),IF(AND($H73&lt;&gt;"",OR(ISERROR(SEARCH("@",$H73)),ISERROR(SEARCH(".",$H73)))),"Email công ty không hợp lệ",""),IF(AND($I73&lt;&gt;"",OR(LEN($I73)&lt;9,LEN($I73)&gt;15,NOT(ISNUMBER(--$I73)))),"Số điện thoại không hợp lệ","")))</f>
        <v/>
      </c>
      <c r="C73" s="20" t="n"/>
      <c r="D73" s="21" t="n"/>
      <c r="E73" s="22" t="n"/>
      <c r="F73" s="21" t="n"/>
      <c r="G73" s="21" t="n"/>
      <c r="H73" s="21" t="n"/>
      <c r="I73" s="20" t="n"/>
      <c r="J73" s="21" t="n"/>
      <c r="K73" s="21" t="n"/>
    </row>
    <row r="74">
      <c r="A74" s="19">
        <f>IF($C74="","CHƯA NHẬP",IF($B74="","HỢP LỆ","LỖI"))</f>
        <v/>
      </c>
      <c r="B74" s="19">
        <f>IF($C74="","",TEXTJOIN(" | ",TRUE,IF($C74="","Thiếu mã nhân viên",""),IF(COUNTIF($C$6:$C$505,$C74)&gt;1,"Trùng mã nhân viên",""),IF($D74="","Thiếu họ tên",""),IF(AND($E74&lt;&gt;"",OR(NOT(ISNUMBER($E74)),$E74&lt;DATE(1940,1,1),$E74&gt;TODAY())),"Ngày sinh không hợp lệ",""),IF(AND($G74&lt;&gt;"",OR(ISERROR(SEARCH("@",$G74)),ISERROR(SEARCH(".",$G74)))),"Email cá nhân không hợp lệ",""),IF(AND($H74&lt;&gt;"",OR(ISERROR(SEARCH("@",$H74)),ISERROR(SEARCH(".",$H74)))),"Email công ty không hợp lệ",""),IF(AND($I74&lt;&gt;"",OR(LEN($I74)&lt;9,LEN($I74)&gt;15,NOT(ISNUMBER(--$I74)))),"Số điện thoại không hợp lệ","")))</f>
        <v/>
      </c>
      <c r="C74" s="20" t="n"/>
      <c r="D74" s="21" t="n"/>
      <c r="E74" s="22" t="n"/>
      <c r="F74" s="21" t="n"/>
      <c r="G74" s="21" t="n"/>
      <c r="H74" s="21" t="n"/>
      <c r="I74" s="20" t="n"/>
      <c r="J74" s="21" t="n"/>
      <c r="K74" s="21" t="n"/>
    </row>
    <row r="75">
      <c r="A75" s="19">
        <f>IF($C75="","CHƯA NHẬP",IF($B75="","HỢP LỆ","LỖI"))</f>
        <v/>
      </c>
      <c r="B75" s="19">
        <f>IF($C75="","",TEXTJOIN(" | ",TRUE,IF($C75="","Thiếu mã nhân viên",""),IF(COUNTIF($C$6:$C$505,$C75)&gt;1,"Trùng mã nhân viên",""),IF($D75="","Thiếu họ tên",""),IF(AND($E75&lt;&gt;"",OR(NOT(ISNUMBER($E75)),$E75&lt;DATE(1940,1,1),$E75&gt;TODAY())),"Ngày sinh không hợp lệ",""),IF(AND($G75&lt;&gt;"",OR(ISERROR(SEARCH("@",$G75)),ISERROR(SEARCH(".",$G75)))),"Email cá nhân không hợp lệ",""),IF(AND($H75&lt;&gt;"",OR(ISERROR(SEARCH("@",$H75)),ISERROR(SEARCH(".",$H75)))),"Email công ty không hợp lệ",""),IF(AND($I75&lt;&gt;"",OR(LEN($I75)&lt;9,LEN($I75)&gt;15,NOT(ISNUMBER(--$I75)))),"Số điện thoại không hợp lệ","")))</f>
        <v/>
      </c>
      <c r="C75" s="20" t="n"/>
      <c r="D75" s="21" t="n"/>
      <c r="E75" s="22" t="n"/>
      <c r="F75" s="21" t="n"/>
      <c r="G75" s="21" t="n"/>
      <c r="H75" s="21" t="n"/>
      <c r="I75" s="20" t="n"/>
      <c r="J75" s="21" t="n"/>
      <c r="K75" s="21" t="n"/>
    </row>
    <row r="76">
      <c r="A76" s="19">
        <f>IF($C76="","CHƯA NHẬP",IF($B76="","HỢP LỆ","LỖI"))</f>
        <v/>
      </c>
      <c r="B76" s="19">
        <f>IF($C76="","",TEXTJOIN(" | ",TRUE,IF($C76="","Thiếu mã nhân viên",""),IF(COUNTIF($C$6:$C$505,$C76)&gt;1,"Trùng mã nhân viên",""),IF($D76="","Thiếu họ tên",""),IF(AND($E76&lt;&gt;"",OR(NOT(ISNUMBER($E76)),$E76&lt;DATE(1940,1,1),$E76&gt;TODAY())),"Ngày sinh không hợp lệ",""),IF(AND($G76&lt;&gt;"",OR(ISERROR(SEARCH("@",$G76)),ISERROR(SEARCH(".",$G76)))),"Email cá nhân không hợp lệ",""),IF(AND($H76&lt;&gt;"",OR(ISERROR(SEARCH("@",$H76)),ISERROR(SEARCH(".",$H76)))),"Email công ty không hợp lệ",""),IF(AND($I76&lt;&gt;"",OR(LEN($I76)&lt;9,LEN($I76)&gt;15,NOT(ISNUMBER(--$I76)))),"Số điện thoại không hợp lệ","")))</f>
        <v/>
      </c>
      <c r="C76" s="20" t="n"/>
      <c r="D76" s="21" t="n"/>
      <c r="E76" s="22" t="n"/>
      <c r="F76" s="21" t="n"/>
      <c r="G76" s="21" t="n"/>
      <c r="H76" s="21" t="n"/>
      <c r="I76" s="20" t="n"/>
      <c r="J76" s="21" t="n"/>
      <c r="K76" s="21" t="n"/>
    </row>
    <row r="77">
      <c r="A77" s="19">
        <f>IF($C77="","CHƯA NHẬP",IF($B77="","HỢP LỆ","LỖI"))</f>
        <v/>
      </c>
      <c r="B77" s="19">
        <f>IF($C77="","",TEXTJOIN(" | ",TRUE,IF($C77="","Thiếu mã nhân viên",""),IF(COUNTIF($C$6:$C$505,$C77)&gt;1,"Trùng mã nhân viên",""),IF($D77="","Thiếu họ tên",""),IF(AND($E77&lt;&gt;"",OR(NOT(ISNUMBER($E77)),$E77&lt;DATE(1940,1,1),$E77&gt;TODAY())),"Ngày sinh không hợp lệ",""),IF(AND($G77&lt;&gt;"",OR(ISERROR(SEARCH("@",$G77)),ISERROR(SEARCH(".",$G77)))),"Email cá nhân không hợp lệ",""),IF(AND($H77&lt;&gt;"",OR(ISERROR(SEARCH("@",$H77)),ISERROR(SEARCH(".",$H77)))),"Email công ty không hợp lệ",""),IF(AND($I77&lt;&gt;"",OR(LEN($I77)&lt;9,LEN($I77)&gt;15,NOT(ISNUMBER(--$I77)))),"Số điện thoại không hợp lệ","")))</f>
        <v/>
      </c>
      <c r="C77" s="20" t="n"/>
      <c r="D77" s="21" t="n"/>
      <c r="E77" s="22" t="n"/>
      <c r="F77" s="21" t="n"/>
      <c r="G77" s="21" t="n"/>
      <c r="H77" s="21" t="n"/>
      <c r="I77" s="20" t="n"/>
      <c r="J77" s="21" t="n"/>
      <c r="K77" s="21" t="n"/>
    </row>
    <row r="78">
      <c r="A78" s="19">
        <f>IF($C78="","CHƯA NHẬP",IF($B78="","HỢP LỆ","LỖI"))</f>
        <v/>
      </c>
      <c r="B78" s="19">
        <f>IF($C78="","",TEXTJOIN(" | ",TRUE,IF($C78="","Thiếu mã nhân viên",""),IF(COUNTIF($C$6:$C$505,$C78)&gt;1,"Trùng mã nhân viên",""),IF($D78="","Thiếu họ tên",""),IF(AND($E78&lt;&gt;"",OR(NOT(ISNUMBER($E78)),$E78&lt;DATE(1940,1,1),$E78&gt;TODAY())),"Ngày sinh không hợp lệ",""),IF(AND($G78&lt;&gt;"",OR(ISERROR(SEARCH("@",$G78)),ISERROR(SEARCH(".",$G78)))),"Email cá nhân không hợp lệ",""),IF(AND($H78&lt;&gt;"",OR(ISERROR(SEARCH("@",$H78)),ISERROR(SEARCH(".",$H78)))),"Email công ty không hợp lệ",""),IF(AND($I78&lt;&gt;"",OR(LEN($I78)&lt;9,LEN($I78)&gt;15,NOT(ISNUMBER(--$I78)))),"Số điện thoại không hợp lệ","")))</f>
        <v/>
      </c>
      <c r="C78" s="20" t="n"/>
      <c r="D78" s="21" t="n"/>
      <c r="E78" s="22" t="n"/>
      <c r="F78" s="21" t="n"/>
      <c r="G78" s="21" t="n"/>
      <c r="H78" s="21" t="n"/>
      <c r="I78" s="20" t="n"/>
      <c r="J78" s="21" t="n"/>
      <c r="K78" s="21" t="n"/>
    </row>
    <row r="79">
      <c r="A79" s="19">
        <f>IF($C79="","CHƯA NHẬP",IF($B79="","HỢP LỆ","LỖI"))</f>
        <v/>
      </c>
      <c r="B79" s="19">
        <f>IF($C79="","",TEXTJOIN(" | ",TRUE,IF($C79="","Thiếu mã nhân viên",""),IF(COUNTIF($C$6:$C$505,$C79)&gt;1,"Trùng mã nhân viên",""),IF($D79="","Thiếu họ tên",""),IF(AND($E79&lt;&gt;"",OR(NOT(ISNUMBER($E79)),$E79&lt;DATE(1940,1,1),$E79&gt;TODAY())),"Ngày sinh không hợp lệ",""),IF(AND($G79&lt;&gt;"",OR(ISERROR(SEARCH("@",$G79)),ISERROR(SEARCH(".",$G79)))),"Email cá nhân không hợp lệ",""),IF(AND($H79&lt;&gt;"",OR(ISERROR(SEARCH("@",$H79)),ISERROR(SEARCH(".",$H79)))),"Email công ty không hợp lệ",""),IF(AND($I79&lt;&gt;"",OR(LEN($I79)&lt;9,LEN($I79)&gt;15,NOT(ISNUMBER(--$I79)))),"Số điện thoại không hợp lệ","")))</f>
        <v/>
      </c>
      <c r="C79" s="20" t="n"/>
      <c r="D79" s="21" t="n"/>
      <c r="E79" s="22" t="n"/>
      <c r="F79" s="21" t="n"/>
      <c r="G79" s="21" t="n"/>
      <c r="H79" s="21" t="n"/>
      <c r="I79" s="20" t="n"/>
      <c r="J79" s="21" t="n"/>
      <c r="K79" s="21" t="n"/>
    </row>
    <row r="80">
      <c r="A80" s="19">
        <f>IF($C80="","CHƯA NHẬP",IF($B80="","HỢP LỆ","LỖI"))</f>
        <v/>
      </c>
      <c r="B80" s="19">
        <f>IF($C80="","",TEXTJOIN(" | ",TRUE,IF($C80="","Thiếu mã nhân viên",""),IF(COUNTIF($C$6:$C$505,$C80)&gt;1,"Trùng mã nhân viên",""),IF($D80="","Thiếu họ tên",""),IF(AND($E80&lt;&gt;"",OR(NOT(ISNUMBER($E80)),$E80&lt;DATE(1940,1,1),$E80&gt;TODAY())),"Ngày sinh không hợp lệ",""),IF(AND($G80&lt;&gt;"",OR(ISERROR(SEARCH("@",$G80)),ISERROR(SEARCH(".",$G80)))),"Email cá nhân không hợp lệ",""),IF(AND($H80&lt;&gt;"",OR(ISERROR(SEARCH("@",$H80)),ISERROR(SEARCH(".",$H80)))),"Email công ty không hợp lệ",""),IF(AND($I80&lt;&gt;"",OR(LEN($I80)&lt;9,LEN($I80)&gt;15,NOT(ISNUMBER(--$I80)))),"Số điện thoại không hợp lệ","")))</f>
        <v/>
      </c>
      <c r="C80" s="20" t="n"/>
      <c r="D80" s="21" t="n"/>
      <c r="E80" s="22" t="n"/>
      <c r="F80" s="21" t="n"/>
      <c r="G80" s="21" t="n"/>
      <c r="H80" s="21" t="n"/>
      <c r="I80" s="20" t="n"/>
      <c r="J80" s="21" t="n"/>
      <c r="K80" s="21" t="n"/>
    </row>
    <row r="81">
      <c r="A81" s="19">
        <f>IF($C81="","CHƯA NHẬP",IF($B81="","HỢP LỆ","LỖI"))</f>
        <v/>
      </c>
      <c r="B81" s="19">
        <f>IF($C81="","",TEXTJOIN(" | ",TRUE,IF($C81="","Thiếu mã nhân viên",""),IF(COUNTIF($C$6:$C$505,$C81)&gt;1,"Trùng mã nhân viên",""),IF($D81="","Thiếu họ tên",""),IF(AND($E81&lt;&gt;"",OR(NOT(ISNUMBER($E81)),$E81&lt;DATE(1940,1,1),$E81&gt;TODAY())),"Ngày sinh không hợp lệ",""),IF(AND($G81&lt;&gt;"",OR(ISERROR(SEARCH("@",$G81)),ISERROR(SEARCH(".",$G81)))),"Email cá nhân không hợp lệ",""),IF(AND($H81&lt;&gt;"",OR(ISERROR(SEARCH("@",$H81)),ISERROR(SEARCH(".",$H81)))),"Email công ty không hợp lệ",""),IF(AND($I81&lt;&gt;"",OR(LEN($I81)&lt;9,LEN($I81)&gt;15,NOT(ISNUMBER(--$I81)))),"Số điện thoại không hợp lệ","")))</f>
        <v/>
      </c>
      <c r="C81" s="20" t="n"/>
      <c r="D81" s="21" t="n"/>
      <c r="E81" s="22" t="n"/>
      <c r="F81" s="21" t="n"/>
      <c r="G81" s="21" t="n"/>
      <c r="H81" s="21" t="n"/>
      <c r="I81" s="20" t="n"/>
      <c r="J81" s="21" t="n"/>
      <c r="K81" s="21" t="n"/>
    </row>
    <row r="82">
      <c r="A82" s="19">
        <f>IF($C82="","CHƯA NHẬP",IF($B82="","HỢP LỆ","LỖI"))</f>
        <v/>
      </c>
      <c r="B82" s="19">
        <f>IF($C82="","",TEXTJOIN(" | ",TRUE,IF($C82="","Thiếu mã nhân viên",""),IF(COUNTIF($C$6:$C$505,$C82)&gt;1,"Trùng mã nhân viên",""),IF($D82="","Thiếu họ tên",""),IF(AND($E82&lt;&gt;"",OR(NOT(ISNUMBER($E82)),$E82&lt;DATE(1940,1,1),$E82&gt;TODAY())),"Ngày sinh không hợp lệ",""),IF(AND($G82&lt;&gt;"",OR(ISERROR(SEARCH("@",$G82)),ISERROR(SEARCH(".",$G82)))),"Email cá nhân không hợp lệ",""),IF(AND($H82&lt;&gt;"",OR(ISERROR(SEARCH("@",$H82)),ISERROR(SEARCH(".",$H82)))),"Email công ty không hợp lệ",""),IF(AND($I82&lt;&gt;"",OR(LEN($I82)&lt;9,LEN($I82)&gt;15,NOT(ISNUMBER(--$I82)))),"Số điện thoại không hợp lệ","")))</f>
        <v/>
      </c>
      <c r="C82" s="20" t="n"/>
      <c r="D82" s="21" t="n"/>
      <c r="E82" s="22" t="n"/>
      <c r="F82" s="21" t="n"/>
      <c r="G82" s="21" t="n"/>
      <c r="H82" s="21" t="n"/>
      <c r="I82" s="20" t="n"/>
      <c r="J82" s="21" t="n"/>
      <c r="K82" s="21" t="n"/>
    </row>
    <row r="83">
      <c r="A83" s="19">
        <f>IF($C83="","CHƯA NHẬP",IF($B83="","HỢP LỆ","LỖI"))</f>
        <v/>
      </c>
      <c r="B83" s="19">
        <f>IF($C83="","",TEXTJOIN(" | ",TRUE,IF($C83="","Thiếu mã nhân viên",""),IF(COUNTIF($C$6:$C$505,$C83)&gt;1,"Trùng mã nhân viên",""),IF($D83="","Thiếu họ tên",""),IF(AND($E83&lt;&gt;"",OR(NOT(ISNUMBER($E83)),$E83&lt;DATE(1940,1,1),$E83&gt;TODAY())),"Ngày sinh không hợp lệ",""),IF(AND($G83&lt;&gt;"",OR(ISERROR(SEARCH("@",$G83)),ISERROR(SEARCH(".",$G83)))),"Email cá nhân không hợp lệ",""),IF(AND($H83&lt;&gt;"",OR(ISERROR(SEARCH("@",$H83)),ISERROR(SEARCH(".",$H83)))),"Email công ty không hợp lệ",""),IF(AND($I83&lt;&gt;"",OR(LEN($I83)&lt;9,LEN($I83)&gt;15,NOT(ISNUMBER(--$I83)))),"Số điện thoại không hợp lệ","")))</f>
        <v/>
      </c>
      <c r="C83" s="20" t="n"/>
      <c r="D83" s="21" t="n"/>
      <c r="E83" s="22" t="n"/>
      <c r="F83" s="21" t="n"/>
      <c r="G83" s="21" t="n"/>
      <c r="H83" s="21" t="n"/>
      <c r="I83" s="20" t="n"/>
      <c r="J83" s="21" t="n"/>
      <c r="K83" s="21" t="n"/>
    </row>
    <row r="84">
      <c r="A84" s="19">
        <f>IF($C84="","CHƯA NHẬP",IF($B84="","HỢP LỆ","LỖI"))</f>
        <v/>
      </c>
      <c r="B84" s="19">
        <f>IF($C84="","",TEXTJOIN(" | ",TRUE,IF($C84="","Thiếu mã nhân viên",""),IF(COUNTIF($C$6:$C$505,$C84)&gt;1,"Trùng mã nhân viên",""),IF($D84="","Thiếu họ tên",""),IF(AND($E84&lt;&gt;"",OR(NOT(ISNUMBER($E84)),$E84&lt;DATE(1940,1,1),$E84&gt;TODAY())),"Ngày sinh không hợp lệ",""),IF(AND($G84&lt;&gt;"",OR(ISERROR(SEARCH("@",$G84)),ISERROR(SEARCH(".",$G84)))),"Email cá nhân không hợp lệ",""),IF(AND($H84&lt;&gt;"",OR(ISERROR(SEARCH("@",$H84)),ISERROR(SEARCH(".",$H84)))),"Email công ty không hợp lệ",""),IF(AND($I84&lt;&gt;"",OR(LEN($I84)&lt;9,LEN($I84)&gt;15,NOT(ISNUMBER(--$I84)))),"Số điện thoại không hợp lệ","")))</f>
        <v/>
      </c>
      <c r="C84" s="20" t="n"/>
      <c r="D84" s="21" t="n"/>
      <c r="E84" s="22" t="n"/>
      <c r="F84" s="21" t="n"/>
      <c r="G84" s="21" t="n"/>
      <c r="H84" s="21" t="n"/>
      <c r="I84" s="20" t="n"/>
      <c r="J84" s="21" t="n"/>
      <c r="K84" s="21" t="n"/>
    </row>
    <row r="85">
      <c r="A85" s="19">
        <f>IF($C85="","CHƯA NHẬP",IF($B85="","HỢP LỆ","LỖI"))</f>
        <v/>
      </c>
      <c r="B85" s="19">
        <f>IF($C85="","",TEXTJOIN(" | ",TRUE,IF($C85="","Thiếu mã nhân viên",""),IF(COUNTIF($C$6:$C$505,$C85)&gt;1,"Trùng mã nhân viên",""),IF($D85="","Thiếu họ tên",""),IF(AND($E85&lt;&gt;"",OR(NOT(ISNUMBER($E85)),$E85&lt;DATE(1940,1,1),$E85&gt;TODAY())),"Ngày sinh không hợp lệ",""),IF(AND($G85&lt;&gt;"",OR(ISERROR(SEARCH("@",$G85)),ISERROR(SEARCH(".",$G85)))),"Email cá nhân không hợp lệ",""),IF(AND($H85&lt;&gt;"",OR(ISERROR(SEARCH("@",$H85)),ISERROR(SEARCH(".",$H85)))),"Email công ty không hợp lệ",""),IF(AND($I85&lt;&gt;"",OR(LEN($I85)&lt;9,LEN($I85)&gt;15,NOT(ISNUMBER(--$I85)))),"Số điện thoại không hợp lệ","")))</f>
        <v/>
      </c>
      <c r="C85" s="20" t="n"/>
      <c r="D85" s="21" t="n"/>
      <c r="E85" s="22" t="n"/>
      <c r="F85" s="21" t="n"/>
      <c r="G85" s="21" t="n"/>
      <c r="H85" s="21" t="n"/>
      <c r="I85" s="20" t="n"/>
      <c r="J85" s="21" t="n"/>
      <c r="K85" s="21" t="n"/>
    </row>
    <row r="86">
      <c r="A86" s="19">
        <f>IF($C86="","CHƯA NHẬP",IF($B86="","HỢP LỆ","LỖI"))</f>
        <v/>
      </c>
      <c r="B86" s="19">
        <f>IF($C86="","",TEXTJOIN(" | ",TRUE,IF($C86="","Thiếu mã nhân viên",""),IF(COUNTIF($C$6:$C$505,$C86)&gt;1,"Trùng mã nhân viên",""),IF($D86="","Thiếu họ tên",""),IF(AND($E86&lt;&gt;"",OR(NOT(ISNUMBER($E86)),$E86&lt;DATE(1940,1,1),$E86&gt;TODAY())),"Ngày sinh không hợp lệ",""),IF(AND($G86&lt;&gt;"",OR(ISERROR(SEARCH("@",$G86)),ISERROR(SEARCH(".",$G86)))),"Email cá nhân không hợp lệ",""),IF(AND($H86&lt;&gt;"",OR(ISERROR(SEARCH("@",$H86)),ISERROR(SEARCH(".",$H86)))),"Email công ty không hợp lệ",""),IF(AND($I86&lt;&gt;"",OR(LEN($I86)&lt;9,LEN($I86)&gt;15,NOT(ISNUMBER(--$I86)))),"Số điện thoại không hợp lệ","")))</f>
        <v/>
      </c>
      <c r="C86" s="20" t="n"/>
      <c r="D86" s="21" t="n"/>
      <c r="E86" s="22" t="n"/>
      <c r="F86" s="21" t="n"/>
      <c r="G86" s="21" t="n"/>
      <c r="H86" s="21" t="n"/>
      <c r="I86" s="20" t="n"/>
      <c r="J86" s="21" t="n"/>
      <c r="K86" s="21" t="n"/>
    </row>
    <row r="87">
      <c r="A87" s="19">
        <f>IF($C87="","CHƯA NHẬP",IF($B87="","HỢP LỆ","LỖI"))</f>
        <v/>
      </c>
      <c r="B87" s="19">
        <f>IF($C87="","",TEXTJOIN(" | ",TRUE,IF($C87="","Thiếu mã nhân viên",""),IF(COUNTIF($C$6:$C$505,$C87)&gt;1,"Trùng mã nhân viên",""),IF($D87="","Thiếu họ tên",""),IF(AND($E87&lt;&gt;"",OR(NOT(ISNUMBER($E87)),$E87&lt;DATE(1940,1,1),$E87&gt;TODAY())),"Ngày sinh không hợp lệ",""),IF(AND($G87&lt;&gt;"",OR(ISERROR(SEARCH("@",$G87)),ISERROR(SEARCH(".",$G87)))),"Email cá nhân không hợp lệ",""),IF(AND($H87&lt;&gt;"",OR(ISERROR(SEARCH("@",$H87)),ISERROR(SEARCH(".",$H87)))),"Email công ty không hợp lệ",""),IF(AND($I87&lt;&gt;"",OR(LEN($I87)&lt;9,LEN($I87)&gt;15,NOT(ISNUMBER(--$I87)))),"Số điện thoại không hợp lệ","")))</f>
        <v/>
      </c>
      <c r="C87" s="20" t="n"/>
      <c r="D87" s="21" t="n"/>
      <c r="E87" s="22" t="n"/>
      <c r="F87" s="21" t="n"/>
      <c r="G87" s="21" t="n"/>
      <c r="H87" s="21" t="n"/>
      <c r="I87" s="20" t="n"/>
      <c r="J87" s="21" t="n"/>
      <c r="K87" s="21" t="n"/>
    </row>
    <row r="88">
      <c r="A88" s="19">
        <f>IF($C88="","CHƯA NHẬP",IF($B88="","HỢP LỆ","LỖI"))</f>
        <v/>
      </c>
      <c r="B88" s="19">
        <f>IF($C88="","",TEXTJOIN(" | ",TRUE,IF($C88="","Thiếu mã nhân viên",""),IF(COUNTIF($C$6:$C$505,$C88)&gt;1,"Trùng mã nhân viên",""),IF($D88="","Thiếu họ tên",""),IF(AND($E88&lt;&gt;"",OR(NOT(ISNUMBER($E88)),$E88&lt;DATE(1940,1,1),$E88&gt;TODAY())),"Ngày sinh không hợp lệ",""),IF(AND($G88&lt;&gt;"",OR(ISERROR(SEARCH("@",$G88)),ISERROR(SEARCH(".",$G88)))),"Email cá nhân không hợp lệ",""),IF(AND($H88&lt;&gt;"",OR(ISERROR(SEARCH("@",$H88)),ISERROR(SEARCH(".",$H88)))),"Email công ty không hợp lệ",""),IF(AND($I88&lt;&gt;"",OR(LEN($I88)&lt;9,LEN($I88)&gt;15,NOT(ISNUMBER(--$I88)))),"Số điện thoại không hợp lệ","")))</f>
        <v/>
      </c>
      <c r="C88" s="20" t="n"/>
      <c r="D88" s="21" t="n"/>
      <c r="E88" s="22" t="n"/>
      <c r="F88" s="21" t="n"/>
      <c r="G88" s="21" t="n"/>
      <c r="H88" s="21" t="n"/>
      <c r="I88" s="20" t="n"/>
      <c r="J88" s="21" t="n"/>
      <c r="K88" s="21" t="n"/>
    </row>
    <row r="89">
      <c r="A89" s="19">
        <f>IF($C89="","CHƯA NHẬP",IF($B89="","HỢP LỆ","LỖI"))</f>
        <v/>
      </c>
      <c r="B89" s="19">
        <f>IF($C89="","",TEXTJOIN(" | ",TRUE,IF($C89="","Thiếu mã nhân viên",""),IF(COUNTIF($C$6:$C$505,$C89)&gt;1,"Trùng mã nhân viên",""),IF($D89="","Thiếu họ tên",""),IF(AND($E89&lt;&gt;"",OR(NOT(ISNUMBER($E89)),$E89&lt;DATE(1940,1,1),$E89&gt;TODAY())),"Ngày sinh không hợp lệ",""),IF(AND($G89&lt;&gt;"",OR(ISERROR(SEARCH("@",$G89)),ISERROR(SEARCH(".",$G89)))),"Email cá nhân không hợp lệ",""),IF(AND($H89&lt;&gt;"",OR(ISERROR(SEARCH("@",$H89)),ISERROR(SEARCH(".",$H89)))),"Email công ty không hợp lệ",""),IF(AND($I89&lt;&gt;"",OR(LEN($I89)&lt;9,LEN($I89)&gt;15,NOT(ISNUMBER(--$I89)))),"Số điện thoại không hợp lệ","")))</f>
        <v/>
      </c>
      <c r="C89" s="20" t="n"/>
      <c r="D89" s="21" t="n"/>
      <c r="E89" s="22" t="n"/>
      <c r="F89" s="21" t="n"/>
      <c r="G89" s="21" t="n"/>
      <c r="H89" s="21" t="n"/>
      <c r="I89" s="20" t="n"/>
      <c r="J89" s="21" t="n"/>
      <c r="K89" s="21" t="n"/>
    </row>
    <row r="90">
      <c r="A90" s="19">
        <f>IF($C90="","CHƯA NHẬP",IF($B90="","HỢP LỆ","LỖI"))</f>
        <v/>
      </c>
      <c r="B90" s="19">
        <f>IF($C90="","",TEXTJOIN(" | ",TRUE,IF($C90="","Thiếu mã nhân viên",""),IF(COUNTIF($C$6:$C$505,$C90)&gt;1,"Trùng mã nhân viên",""),IF($D90="","Thiếu họ tên",""),IF(AND($E90&lt;&gt;"",OR(NOT(ISNUMBER($E90)),$E90&lt;DATE(1940,1,1),$E90&gt;TODAY())),"Ngày sinh không hợp lệ",""),IF(AND($G90&lt;&gt;"",OR(ISERROR(SEARCH("@",$G90)),ISERROR(SEARCH(".",$G90)))),"Email cá nhân không hợp lệ",""),IF(AND($H90&lt;&gt;"",OR(ISERROR(SEARCH("@",$H90)),ISERROR(SEARCH(".",$H90)))),"Email công ty không hợp lệ",""),IF(AND($I90&lt;&gt;"",OR(LEN($I90)&lt;9,LEN($I90)&gt;15,NOT(ISNUMBER(--$I90)))),"Số điện thoại không hợp lệ","")))</f>
        <v/>
      </c>
      <c r="C90" s="20" t="n"/>
      <c r="D90" s="21" t="n"/>
      <c r="E90" s="22" t="n"/>
      <c r="F90" s="21" t="n"/>
      <c r="G90" s="21" t="n"/>
      <c r="H90" s="21" t="n"/>
      <c r="I90" s="20" t="n"/>
      <c r="J90" s="21" t="n"/>
      <c r="K90" s="21" t="n"/>
    </row>
    <row r="91">
      <c r="A91" s="19">
        <f>IF($C91="","CHƯA NHẬP",IF($B91="","HỢP LỆ","LỖI"))</f>
        <v/>
      </c>
      <c r="B91" s="19">
        <f>IF($C91="","",TEXTJOIN(" | ",TRUE,IF($C91="","Thiếu mã nhân viên",""),IF(COUNTIF($C$6:$C$505,$C91)&gt;1,"Trùng mã nhân viên",""),IF($D91="","Thiếu họ tên",""),IF(AND($E91&lt;&gt;"",OR(NOT(ISNUMBER($E91)),$E91&lt;DATE(1940,1,1),$E91&gt;TODAY())),"Ngày sinh không hợp lệ",""),IF(AND($G91&lt;&gt;"",OR(ISERROR(SEARCH("@",$G91)),ISERROR(SEARCH(".",$G91)))),"Email cá nhân không hợp lệ",""),IF(AND($H91&lt;&gt;"",OR(ISERROR(SEARCH("@",$H91)),ISERROR(SEARCH(".",$H91)))),"Email công ty không hợp lệ",""),IF(AND($I91&lt;&gt;"",OR(LEN($I91)&lt;9,LEN($I91)&gt;15,NOT(ISNUMBER(--$I91)))),"Số điện thoại không hợp lệ","")))</f>
        <v/>
      </c>
      <c r="C91" s="20" t="n"/>
      <c r="D91" s="21" t="n"/>
      <c r="E91" s="22" t="n"/>
      <c r="F91" s="21" t="n"/>
      <c r="G91" s="21" t="n"/>
      <c r="H91" s="21" t="n"/>
      <c r="I91" s="20" t="n"/>
      <c r="J91" s="21" t="n"/>
      <c r="K91" s="21" t="n"/>
    </row>
    <row r="92">
      <c r="A92" s="19">
        <f>IF($C92="","CHƯA NHẬP",IF($B92="","HỢP LỆ","LỖI"))</f>
        <v/>
      </c>
      <c r="B92" s="19">
        <f>IF($C92="","",TEXTJOIN(" | ",TRUE,IF($C92="","Thiếu mã nhân viên",""),IF(COUNTIF($C$6:$C$505,$C92)&gt;1,"Trùng mã nhân viên",""),IF($D92="","Thiếu họ tên",""),IF(AND($E92&lt;&gt;"",OR(NOT(ISNUMBER($E92)),$E92&lt;DATE(1940,1,1),$E92&gt;TODAY())),"Ngày sinh không hợp lệ",""),IF(AND($G92&lt;&gt;"",OR(ISERROR(SEARCH("@",$G92)),ISERROR(SEARCH(".",$G92)))),"Email cá nhân không hợp lệ",""),IF(AND($H92&lt;&gt;"",OR(ISERROR(SEARCH("@",$H92)),ISERROR(SEARCH(".",$H92)))),"Email công ty không hợp lệ",""),IF(AND($I92&lt;&gt;"",OR(LEN($I92)&lt;9,LEN($I92)&gt;15,NOT(ISNUMBER(--$I92)))),"Số điện thoại không hợp lệ","")))</f>
        <v/>
      </c>
      <c r="C92" s="20" t="n"/>
      <c r="D92" s="21" t="n"/>
      <c r="E92" s="22" t="n"/>
      <c r="F92" s="21" t="n"/>
      <c r="G92" s="21" t="n"/>
      <c r="H92" s="21" t="n"/>
      <c r="I92" s="20" t="n"/>
      <c r="J92" s="21" t="n"/>
      <c r="K92" s="21" t="n"/>
    </row>
    <row r="93">
      <c r="A93" s="19">
        <f>IF($C93="","CHƯA NHẬP",IF($B93="","HỢP LỆ","LỖI"))</f>
        <v/>
      </c>
      <c r="B93" s="19">
        <f>IF($C93="","",TEXTJOIN(" | ",TRUE,IF($C93="","Thiếu mã nhân viên",""),IF(COUNTIF($C$6:$C$505,$C93)&gt;1,"Trùng mã nhân viên",""),IF($D93="","Thiếu họ tên",""),IF(AND($E93&lt;&gt;"",OR(NOT(ISNUMBER($E93)),$E93&lt;DATE(1940,1,1),$E93&gt;TODAY())),"Ngày sinh không hợp lệ",""),IF(AND($G93&lt;&gt;"",OR(ISERROR(SEARCH("@",$G93)),ISERROR(SEARCH(".",$G93)))),"Email cá nhân không hợp lệ",""),IF(AND($H93&lt;&gt;"",OR(ISERROR(SEARCH("@",$H93)),ISERROR(SEARCH(".",$H93)))),"Email công ty không hợp lệ",""),IF(AND($I93&lt;&gt;"",OR(LEN($I93)&lt;9,LEN($I93)&gt;15,NOT(ISNUMBER(--$I93)))),"Số điện thoại không hợp lệ","")))</f>
        <v/>
      </c>
      <c r="C93" s="20" t="n"/>
      <c r="D93" s="21" t="n"/>
      <c r="E93" s="22" t="n"/>
      <c r="F93" s="21" t="n"/>
      <c r="G93" s="21" t="n"/>
      <c r="H93" s="21" t="n"/>
      <c r="I93" s="20" t="n"/>
      <c r="J93" s="21" t="n"/>
      <c r="K93" s="21" t="n"/>
    </row>
    <row r="94">
      <c r="A94" s="19">
        <f>IF($C94="","CHƯA NHẬP",IF($B94="","HỢP LỆ","LỖI"))</f>
        <v/>
      </c>
      <c r="B94" s="19">
        <f>IF($C94="","",TEXTJOIN(" | ",TRUE,IF($C94="","Thiếu mã nhân viên",""),IF(COUNTIF($C$6:$C$505,$C94)&gt;1,"Trùng mã nhân viên",""),IF($D94="","Thiếu họ tên",""),IF(AND($E94&lt;&gt;"",OR(NOT(ISNUMBER($E94)),$E94&lt;DATE(1940,1,1),$E94&gt;TODAY())),"Ngày sinh không hợp lệ",""),IF(AND($G94&lt;&gt;"",OR(ISERROR(SEARCH("@",$G94)),ISERROR(SEARCH(".",$G94)))),"Email cá nhân không hợp lệ",""),IF(AND($H94&lt;&gt;"",OR(ISERROR(SEARCH("@",$H94)),ISERROR(SEARCH(".",$H94)))),"Email công ty không hợp lệ",""),IF(AND($I94&lt;&gt;"",OR(LEN($I94)&lt;9,LEN($I94)&gt;15,NOT(ISNUMBER(--$I94)))),"Số điện thoại không hợp lệ","")))</f>
        <v/>
      </c>
      <c r="C94" s="20" t="n"/>
      <c r="D94" s="21" t="n"/>
      <c r="E94" s="22" t="n"/>
      <c r="F94" s="21" t="n"/>
      <c r="G94" s="21" t="n"/>
      <c r="H94" s="21" t="n"/>
      <c r="I94" s="20" t="n"/>
      <c r="J94" s="21" t="n"/>
      <c r="K94" s="21" t="n"/>
    </row>
    <row r="95">
      <c r="A95" s="19">
        <f>IF($C95="","CHƯA NHẬP",IF($B95="","HỢP LỆ","LỖI"))</f>
        <v/>
      </c>
      <c r="B95" s="19">
        <f>IF($C95="","",TEXTJOIN(" | ",TRUE,IF($C95="","Thiếu mã nhân viên",""),IF(COUNTIF($C$6:$C$505,$C95)&gt;1,"Trùng mã nhân viên",""),IF($D95="","Thiếu họ tên",""),IF(AND($E95&lt;&gt;"",OR(NOT(ISNUMBER($E95)),$E95&lt;DATE(1940,1,1),$E95&gt;TODAY())),"Ngày sinh không hợp lệ",""),IF(AND($G95&lt;&gt;"",OR(ISERROR(SEARCH("@",$G95)),ISERROR(SEARCH(".",$G95)))),"Email cá nhân không hợp lệ",""),IF(AND($H95&lt;&gt;"",OR(ISERROR(SEARCH("@",$H95)),ISERROR(SEARCH(".",$H95)))),"Email công ty không hợp lệ",""),IF(AND($I95&lt;&gt;"",OR(LEN($I95)&lt;9,LEN($I95)&gt;15,NOT(ISNUMBER(--$I95)))),"Số điện thoại không hợp lệ","")))</f>
        <v/>
      </c>
      <c r="C95" s="20" t="n"/>
      <c r="D95" s="21" t="n"/>
      <c r="E95" s="22" t="n"/>
      <c r="F95" s="21" t="n"/>
      <c r="G95" s="21" t="n"/>
      <c r="H95" s="21" t="n"/>
      <c r="I95" s="20" t="n"/>
      <c r="J95" s="21" t="n"/>
      <c r="K95" s="21" t="n"/>
    </row>
    <row r="96">
      <c r="A96" s="19">
        <f>IF($C96="","CHƯA NHẬP",IF($B96="","HỢP LỆ","LỖI"))</f>
        <v/>
      </c>
      <c r="B96" s="19">
        <f>IF($C96="","",TEXTJOIN(" | ",TRUE,IF($C96="","Thiếu mã nhân viên",""),IF(COUNTIF($C$6:$C$505,$C96)&gt;1,"Trùng mã nhân viên",""),IF($D96="","Thiếu họ tên",""),IF(AND($E96&lt;&gt;"",OR(NOT(ISNUMBER($E96)),$E96&lt;DATE(1940,1,1),$E96&gt;TODAY())),"Ngày sinh không hợp lệ",""),IF(AND($G96&lt;&gt;"",OR(ISERROR(SEARCH("@",$G96)),ISERROR(SEARCH(".",$G96)))),"Email cá nhân không hợp lệ",""),IF(AND($H96&lt;&gt;"",OR(ISERROR(SEARCH("@",$H96)),ISERROR(SEARCH(".",$H96)))),"Email công ty không hợp lệ",""),IF(AND($I96&lt;&gt;"",OR(LEN($I96)&lt;9,LEN($I96)&gt;15,NOT(ISNUMBER(--$I96)))),"Số điện thoại không hợp lệ","")))</f>
        <v/>
      </c>
      <c r="C96" s="20" t="n"/>
      <c r="D96" s="21" t="n"/>
      <c r="E96" s="22" t="n"/>
      <c r="F96" s="21" t="n"/>
      <c r="G96" s="21" t="n"/>
      <c r="H96" s="21" t="n"/>
      <c r="I96" s="20" t="n"/>
      <c r="J96" s="21" t="n"/>
      <c r="K96" s="21" t="n"/>
    </row>
    <row r="97">
      <c r="A97" s="19">
        <f>IF($C97="","CHƯA NHẬP",IF($B97="","HỢP LỆ","LỖI"))</f>
        <v/>
      </c>
      <c r="B97" s="19">
        <f>IF($C97="","",TEXTJOIN(" | ",TRUE,IF($C97="","Thiếu mã nhân viên",""),IF(COUNTIF($C$6:$C$505,$C97)&gt;1,"Trùng mã nhân viên",""),IF($D97="","Thiếu họ tên",""),IF(AND($E97&lt;&gt;"",OR(NOT(ISNUMBER($E97)),$E97&lt;DATE(1940,1,1),$E97&gt;TODAY())),"Ngày sinh không hợp lệ",""),IF(AND($G97&lt;&gt;"",OR(ISERROR(SEARCH("@",$G97)),ISERROR(SEARCH(".",$G97)))),"Email cá nhân không hợp lệ",""),IF(AND($H97&lt;&gt;"",OR(ISERROR(SEARCH("@",$H97)),ISERROR(SEARCH(".",$H97)))),"Email công ty không hợp lệ",""),IF(AND($I97&lt;&gt;"",OR(LEN($I97)&lt;9,LEN($I97)&gt;15,NOT(ISNUMBER(--$I97)))),"Số điện thoại không hợp lệ","")))</f>
        <v/>
      </c>
      <c r="C97" s="20" t="n"/>
      <c r="D97" s="21" t="n"/>
      <c r="E97" s="22" t="n"/>
      <c r="F97" s="21" t="n"/>
      <c r="G97" s="21" t="n"/>
      <c r="H97" s="21" t="n"/>
      <c r="I97" s="20" t="n"/>
      <c r="J97" s="21" t="n"/>
      <c r="K97" s="21" t="n"/>
    </row>
    <row r="98">
      <c r="A98" s="19">
        <f>IF($C98="","CHƯA NHẬP",IF($B98="","HỢP LỆ","LỖI"))</f>
        <v/>
      </c>
      <c r="B98" s="19">
        <f>IF($C98="","",TEXTJOIN(" | ",TRUE,IF($C98="","Thiếu mã nhân viên",""),IF(COUNTIF($C$6:$C$505,$C98)&gt;1,"Trùng mã nhân viên",""),IF($D98="","Thiếu họ tên",""),IF(AND($E98&lt;&gt;"",OR(NOT(ISNUMBER($E98)),$E98&lt;DATE(1940,1,1),$E98&gt;TODAY())),"Ngày sinh không hợp lệ",""),IF(AND($G98&lt;&gt;"",OR(ISERROR(SEARCH("@",$G98)),ISERROR(SEARCH(".",$G98)))),"Email cá nhân không hợp lệ",""),IF(AND($H98&lt;&gt;"",OR(ISERROR(SEARCH("@",$H98)),ISERROR(SEARCH(".",$H98)))),"Email công ty không hợp lệ",""),IF(AND($I98&lt;&gt;"",OR(LEN($I98)&lt;9,LEN($I98)&gt;15,NOT(ISNUMBER(--$I98)))),"Số điện thoại không hợp lệ","")))</f>
        <v/>
      </c>
      <c r="C98" s="20" t="n"/>
      <c r="D98" s="21" t="n"/>
      <c r="E98" s="22" t="n"/>
      <c r="F98" s="21" t="n"/>
      <c r="G98" s="21" t="n"/>
      <c r="H98" s="21" t="n"/>
      <c r="I98" s="20" t="n"/>
      <c r="J98" s="21" t="n"/>
      <c r="K98" s="21" t="n"/>
    </row>
    <row r="99">
      <c r="A99" s="19">
        <f>IF($C99="","CHƯA NHẬP",IF($B99="","HỢP LỆ","LỖI"))</f>
        <v/>
      </c>
      <c r="B99" s="19">
        <f>IF($C99="","",TEXTJOIN(" | ",TRUE,IF($C99="","Thiếu mã nhân viên",""),IF(COUNTIF($C$6:$C$505,$C99)&gt;1,"Trùng mã nhân viên",""),IF($D99="","Thiếu họ tên",""),IF(AND($E99&lt;&gt;"",OR(NOT(ISNUMBER($E99)),$E99&lt;DATE(1940,1,1),$E99&gt;TODAY())),"Ngày sinh không hợp lệ",""),IF(AND($G99&lt;&gt;"",OR(ISERROR(SEARCH("@",$G99)),ISERROR(SEARCH(".",$G99)))),"Email cá nhân không hợp lệ",""),IF(AND($H99&lt;&gt;"",OR(ISERROR(SEARCH("@",$H99)),ISERROR(SEARCH(".",$H99)))),"Email công ty không hợp lệ",""),IF(AND($I99&lt;&gt;"",OR(LEN($I99)&lt;9,LEN($I99)&gt;15,NOT(ISNUMBER(--$I99)))),"Số điện thoại không hợp lệ","")))</f>
        <v/>
      </c>
      <c r="C99" s="20" t="n"/>
      <c r="D99" s="21" t="n"/>
      <c r="E99" s="22" t="n"/>
      <c r="F99" s="21" t="n"/>
      <c r="G99" s="21" t="n"/>
      <c r="H99" s="21" t="n"/>
      <c r="I99" s="20" t="n"/>
      <c r="J99" s="21" t="n"/>
      <c r="K99" s="21" t="n"/>
    </row>
    <row r="100">
      <c r="A100" s="19">
        <f>IF($C100="","CHƯA NHẬP",IF($B100="","HỢP LỆ","LỖI"))</f>
        <v/>
      </c>
      <c r="B100" s="19">
        <f>IF($C100="","",TEXTJOIN(" | ",TRUE,IF($C100="","Thiếu mã nhân viên",""),IF(COUNTIF($C$6:$C$505,$C100)&gt;1,"Trùng mã nhân viên",""),IF($D100="","Thiếu họ tên",""),IF(AND($E100&lt;&gt;"",OR(NOT(ISNUMBER($E100)),$E100&lt;DATE(1940,1,1),$E100&gt;TODAY())),"Ngày sinh không hợp lệ",""),IF(AND($G100&lt;&gt;"",OR(ISERROR(SEARCH("@",$G100)),ISERROR(SEARCH(".",$G100)))),"Email cá nhân không hợp lệ",""),IF(AND($H100&lt;&gt;"",OR(ISERROR(SEARCH("@",$H100)),ISERROR(SEARCH(".",$H100)))),"Email công ty không hợp lệ",""),IF(AND($I100&lt;&gt;"",OR(LEN($I100)&lt;9,LEN($I100)&gt;15,NOT(ISNUMBER(--$I100)))),"Số điện thoại không hợp lệ","")))</f>
        <v/>
      </c>
      <c r="C100" s="20" t="n"/>
      <c r="D100" s="21" t="n"/>
      <c r="E100" s="22" t="n"/>
      <c r="F100" s="21" t="n"/>
      <c r="G100" s="21" t="n"/>
      <c r="H100" s="21" t="n"/>
      <c r="I100" s="20" t="n"/>
      <c r="J100" s="21" t="n"/>
      <c r="K100" s="21" t="n"/>
    </row>
    <row r="101">
      <c r="A101" s="19">
        <f>IF($C101="","CHƯA NHẬP",IF($B101="","HỢP LỆ","LỖI"))</f>
        <v/>
      </c>
      <c r="B101" s="19">
        <f>IF($C101="","",TEXTJOIN(" | ",TRUE,IF($C101="","Thiếu mã nhân viên",""),IF(COUNTIF($C$6:$C$505,$C101)&gt;1,"Trùng mã nhân viên",""),IF($D101="","Thiếu họ tên",""),IF(AND($E101&lt;&gt;"",OR(NOT(ISNUMBER($E101)),$E101&lt;DATE(1940,1,1),$E101&gt;TODAY())),"Ngày sinh không hợp lệ",""),IF(AND($G101&lt;&gt;"",OR(ISERROR(SEARCH("@",$G101)),ISERROR(SEARCH(".",$G101)))),"Email cá nhân không hợp lệ",""),IF(AND($H101&lt;&gt;"",OR(ISERROR(SEARCH("@",$H101)),ISERROR(SEARCH(".",$H101)))),"Email công ty không hợp lệ",""),IF(AND($I101&lt;&gt;"",OR(LEN($I101)&lt;9,LEN($I101)&gt;15,NOT(ISNUMBER(--$I101)))),"Số điện thoại không hợp lệ","")))</f>
        <v/>
      </c>
      <c r="C101" s="20" t="n"/>
      <c r="D101" s="21" t="n"/>
      <c r="E101" s="22" t="n"/>
      <c r="F101" s="21" t="n"/>
      <c r="G101" s="21" t="n"/>
      <c r="H101" s="21" t="n"/>
      <c r="I101" s="20" t="n"/>
      <c r="J101" s="21" t="n"/>
      <c r="K101" s="21" t="n"/>
    </row>
    <row r="102">
      <c r="A102" s="19">
        <f>IF($C102="","CHƯA NHẬP",IF($B102="","HỢP LỆ","LỖI"))</f>
        <v/>
      </c>
      <c r="B102" s="19">
        <f>IF($C102="","",TEXTJOIN(" | ",TRUE,IF($C102="","Thiếu mã nhân viên",""),IF(COUNTIF($C$6:$C$505,$C102)&gt;1,"Trùng mã nhân viên",""),IF($D102="","Thiếu họ tên",""),IF(AND($E102&lt;&gt;"",OR(NOT(ISNUMBER($E102)),$E102&lt;DATE(1940,1,1),$E102&gt;TODAY())),"Ngày sinh không hợp lệ",""),IF(AND($G102&lt;&gt;"",OR(ISERROR(SEARCH("@",$G102)),ISERROR(SEARCH(".",$G102)))),"Email cá nhân không hợp lệ",""),IF(AND($H102&lt;&gt;"",OR(ISERROR(SEARCH("@",$H102)),ISERROR(SEARCH(".",$H102)))),"Email công ty không hợp lệ",""),IF(AND($I102&lt;&gt;"",OR(LEN($I102)&lt;9,LEN($I102)&gt;15,NOT(ISNUMBER(--$I102)))),"Số điện thoại không hợp lệ","")))</f>
        <v/>
      </c>
      <c r="C102" s="20" t="n"/>
      <c r="D102" s="21" t="n"/>
      <c r="E102" s="22" t="n"/>
      <c r="F102" s="21" t="n"/>
      <c r="G102" s="21" t="n"/>
      <c r="H102" s="21" t="n"/>
      <c r="I102" s="20" t="n"/>
      <c r="J102" s="21" t="n"/>
      <c r="K102" s="21" t="n"/>
    </row>
    <row r="103">
      <c r="A103" s="19">
        <f>IF($C103="","CHƯA NHẬP",IF($B103="","HỢP LỆ","LỖI"))</f>
        <v/>
      </c>
      <c r="B103" s="19">
        <f>IF($C103="","",TEXTJOIN(" | ",TRUE,IF($C103="","Thiếu mã nhân viên",""),IF(COUNTIF($C$6:$C$505,$C103)&gt;1,"Trùng mã nhân viên",""),IF($D103="","Thiếu họ tên",""),IF(AND($E103&lt;&gt;"",OR(NOT(ISNUMBER($E103)),$E103&lt;DATE(1940,1,1),$E103&gt;TODAY())),"Ngày sinh không hợp lệ",""),IF(AND($G103&lt;&gt;"",OR(ISERROR(SEARCH("@",$G103)),ISERROR(SEARCH(".",$G103)))),"Email cá nhân không hợp lệ",""),IF(AND($H103&lt;&gt;"",OR(ISERROR(SEARCH("@",$H103)),ISERROR(SEARCH(".",$H103)))),"Email công ty không hợp lệ",""),IF(AND($I103&lt;&gt;"",OR(LEN($I103)&lt;9,LEN($I103)&gt;15,NOT(ISNUMBER(--$I103)))),"Số điện thoại không hợp lệ","")))</f>
        <v/>
      </c>
      <c r="C103" s="20" t="n"/>
      <c r="D103" s="21" t="n"/>
      <c r="E103" s="22" t="n"/>
      <c r="F103" s="21" t="n"/>
      <c r="G103" s="21" t="n"/>
      <c r="H103" s="21" t="n"/>
      <c r="I103" s="20" t="n"/>
      <c r="J103" s="21" t="n"/>
      <c r="K103" s="21" t="n"/>
    </row>
    <row r="104">
      <c r="A104" s="19">
        <f>IF($C104="","CHƯA NHẬP",IF($B104="","HỢP LỆ","LỖI"))</f>
        <v/>
      </c>
      <c r="B104" s="19">
        <f>IF($C104="","",TEXTJOIN(" | ",TRUE,IF($C104="","Thiếu mã nhân viên",""),IF(COUNTIF($C$6:$C$505,$C104)&gt;1,"Trùng mã nhân viên",""),IF($D104="","Thiếu họ tên",""),IF(AND($E104&lt;&gt;"",OR(NOT(ISNUMBER($E104)),$E104&lt;DATE(1940,1,1),$E104&gt;TODAY())),"Ngày sinh không hợp lệ",""),IF(AND($G104&lt;&gt;"",OR(ISERROR(SEARCH("@",$G104)),ISERROR(SEARCH(".",$G104)))),"Email cá nhân không hợp lệ",""),IF(AND($H104&lt;&gt;"",OR(ISERROR(SEARCH("@",$H104)),ISERROR(SEARCH(".",$H104)))),"Email công ty không hợp lệ",""),IF(AND($I104&lt;&gt;"",OR(LEN($I104)&lt;9,LEN($I104)&gt;15,NOT(ISNUMBER(--$I104)))),"Số điện thoại không hợp lệ","")))</f>
        <v/>
      </c>
      <c r="C104" s="20" t="n"/>
      <c r="D104" s="21" t="n"/>
      <c r="E104" s="22" t="n"/>
      <c r="F104" s="21" t="n"/>
      <c r="G104" s="21" t="n"/>
      <c r="H104" s="21" t="n"/>
      <c r="I104" s="20" t="n"/>
      <c r="J104" s="21" t="n"/>
      <c r="K104" s="21" t="n"/>
    </row>
    <row r="105">
      <c r="A105" s="19">
        <f>IF($C105="","CHƯA NHẬP",IF($B105="","HỢP LỆ","LỖI"))</f>
        <v/>
      </c>
      <c r="B105" s="19">
        <f>IF($C105="","",TEXTJOIN(" | ",TRUE,IF($C105="","Thiếu mã nhân viên",""),IF(COUNTIF($C$6:$C$505,$C105)&gt;1,"Trùng mã nhân viên",""),IF($D105="","Thiếu họ tên",""),IF(AND($E105&lt;&gt;"",OR(NOT(ISNUMBER($E105)),$E105&lt;DATE(1940,1,1),$E105&gt;TODAY())),"Ngày sinh không hợp lệ",""),IF(AND($G105&lt;&gt;"",OR(ISERROR(SEARCH("@",$G105)),ISERROR(SEARCH(".",$G105)))),"Email cá nhân không hợp lệ",""),IF(AND($H105&lt;&gt;"",OR(ISERROR(SEARCH("@",$H105)),ISERROR(SEARCH(".",$H105)))),"Email công ty không hợp lệ",""),IF(AND($I105&lt;&gt;"",OR(LEN($I105)&lt;9,LEN($I105)&gt;15,NOT(ISNUMBER(--$I105)))),"Số điện thoại không hợp lệ","")))</f>
        <v/>
      </c>
      <c r="C105" s="20" t="n"/>
      <c r="D105" s="21" t="n"/>
      <c r="E105" s="22" t="n"/>
      <c r="F105" s="21" t="n"/>
      <c r="G105" s="21" t="n"/>
      <c r="H105" s="21" t="n"/>
      <c r="I105" s="20" t="n"/>
      <c r="J105" s="21" t="n"/>
      <c r="K105" s="21" t="n"/>
    </row>
    <row r="106">
      <c r="A106" s="19">
        <f>IF($C106="","CHƯA NHẬP",IF($B106="","HỢP LỆ","LỖI"))</f>
        <v/>
      </c>
      <c r="B106" s="19">
        <f>IF($C106="","",TEXTJOIN(" | ",TRUE,IF($C106="","Thiếu mã nhân viên",""),IF(COUNTIF($C$6:$C$505,$C106)&gt;1,"Trùng mã nhân viên",""),IF($D106="","Thiếu họ tên",""),IF(AND($E106&lt;&gt;"",OR(NOT(ISNUMBER($E106)),$E106&lt;DATE(1940,1,1),$E106&gt;TODAY())),"Ngày sinh không hợp lệ",""),IF(AND($G106&lt;&gt;"",OR(ISERROR(SEARCH("@",$G106)),ISERROR(SEARCH(".",$G106)))),"Email cá nhân không hợp lệ",""),IF(AND($H106&lt;&gt;"",OR(ISERROR(SEARCH("@",$H106)),ISERROR(SEARCH(".",$H106)))),"Email công ty không hợp lệ",""),IF(AND($I106&lt;&gt;"",OR(LEN($I106)&lt;9,LEN($I106)&gt;15,NOT(ISNUMBER(--$I106)))),"Số điện thoại không hợp lệ","")))</f>
        <v/>
      </c>
      <c r="C106" s="20" t="n"/>
      <c r="D106" s="21" t="n"/>
      <c r="E106" s="22" t="n"/>
      <c r="F106" s="21" t="n"/>
      <c r="G106" s="21" t="n"/>
      <c r="H106" s="21" t="n"/>
      <c r="I106" s="20" t="n"/>
      <c r="J106" s="21" t="n"/>
      <c r="K106" s="21" t="n"/>
    </row>
    <row r="107">
      <c r="A107" s="19">
        <f>IF($C107="","CHƯA NHẬP",IF($B107="","HỢP LỆ","LỖI"))</f>
        <v/>
      </c>
      <c r="B107" s="19">
        <f>IF($C107="","",TEXTJOIN(" | ",TRUE,IF($C107="","Thiếu mã nhân viên",""),IF(COUNTIF($C$6:$C$505,$C107)&gt;1,"Trùng mã nhân viên",""),IF($D107="","Thiếu họ tên",""),IF(AND($E107&lt;&gt;"",OR(NOT(ISNUMBER($E107)),$E107&lt;DATE(1940,1,1),$E107&gt;TODAY())),"Ngày sinh không hợp lệ",""),IF(AND($G107&lt;&gt;"",OR(ISERROR(SEARCH("@",$G107)),ISERROR(SEARCH(".",$G107)))),"Email cá nhân không hợp lệ",""),IF(AND($H107&lt;&gt;"",OR(ISERROR(SEARCH("@",$H107)),ISERROR(SEARCH(".",$H107)))),"Email công ty không hợp lệ",""),IF(AND($I107&lt;&gt;"",OR(LEN($I107)&lt;9,LEN($I107)&gt;15,NOT(ISNUMBER(--$I107)))),"Số điện thoại không hợp lệ","")))</f>
        <v/>
      </c>
      <c r="C107" s="20" t="n"/>
      <c r="D107" s="21" t="n"/>
      <c r="E107" s="22" t="n"/>
      <c r="F107" s="21" t="n"/>
      <c r="G107" s="21" t="n"/>
      <c r="H107" s="21" t="n"/>
      <c r="I107" s="20" t="n"/>
      <c r="J107" s="21" t="n"/>
      <c r="K107" s="21" t="n"/>
    </row>
    <row r="108">
      <c r="A108" s="19">
        <f>IF($C108="","CHƯA NHẬP",IF($B108="","HỢP LỆ","LỖI"))</f>
        <v/>
      </c>
      <c r="B108" s="19">
        <f>IF($C108="","",TEXTJOIN(" | ",TRUE,IF($C108="","Thiếu mã nhân viên",""),IF(COUNTIF($C$6:$C$505,$C108)&gt;1,"Trùng mã nhân viên",""),IF($D108="","Thiếu họ tên",""),IF(AND($E108&lt;&gt;"",OR(NOT(ISNUMBER($E108)),$E108&lt;DATE(1940,1,1),$E108&gt;TODAY())),"Ngày sinh không hợp lệ",""),IF(AND($G108&lt;&gt;"",OR(ISERROR(SEARCH("@",$G108)),ISERROR(SEARCH(".",$G108)))),"Email cá nhân không hợp lệ",""),IF(AND($H108&lt;&gt;"",OR(ISERROR(SEARCH("@",$H108)),ISERROR(SEARCH(".",$H108)))),"Email công ty không hợp lệ",""),IF(AND($I108&lt;&gt;"",OR(LEN($I108)&lt;9,LEN($I108)&gt;15,NOT(ISNUMBER(--$I108)))),"Số điện thoại không hợp lệ","")))</f>
        <v/>
      </c>
      <c r="C108" s="20" t="n"/>
      <c r="D108" s="21" t="n"/>
      <c r="E108" s="22" t="n"/>
      <c r="F108" s="21" t="n"/>
      <c r="G108" s="21" t="n"/>
      <c r="H108" s="21" t="n"/>
      <c r="I108" s="20" t="n"/>
      <c r="J108" s="21" t="n"/>
      <c r="K108" s="21" t="n"/>
    </row>
    <row r="109">
      <c r="A109" s="19">
        <f>IF($C109="","CHƯA NHẬP",IF($B109="","HỢP LỆ","LỖI"))</f>
        <v/>
      </c>
      <c r="B109" s="19">
        <f>IF($C109="","",TEXTJOIN(" | ",TRUE,IF($C109="","Thiếu mã nhân viên",""),IF(COUNTIF($C$6:$C$505,$C109)&gt;1,"Trùng mã nhân viên",""),IF($D109="","Thiếu họ tên",""),IF(AND($E109&lt;&gt;"",OR(NOT(ISNUMBER($E109)),$E109&lt;DATE(1940,1,1),$E109&gt;TODAY())),"Ngày sinh không hợp lệ",""),IF(AND($G109&lt;&gt;"",OR(ISERROR(SEARCH("@",$G109)),ISERROR(SEARCH(".",$G109)))),"Email cá nhân không hợp lệ",""),IF(AND($H109&lt;&gt;"",OR(ISERROR(SEARCH("@",$H109)),ISERROR(SEARCH(".",$H109)))),"Email công ty không hợp lệ",""),IF(AND($I109&lt;&gt;"",OR(LEN($I109)&lt;9,LEN($I109)&gt;15,NOT(ISNUMBER(--$I109)))),"Số điện thoại không hợp lệ","")))</f>
        <v/>
      </c>
      <c r="C109" s="20" t="n"/>
      <c r="D109" s="21" t="n"/>
      <c r="E109" s="22" t="n"/>
      <c r="F109" s="21" t="n"/>
      <c r="G109" s="21" t="n"/>
      <c r="H109" s="21" t="n"/>
      <c r="I109" s="20" t="n"/>
      <c r="J109" s="21" t="n"/>
      <c r="K109" s="21" t="n"/>
    </row>
    <row r="110">
      <c r="A110" s="19">
        <f>IF($C110="","CHƯA NHẬP",IF($B110="","HỢP LỆ","LỖI"))</f>
        <v/>
      </c>
      <c r="B110" s="19">
        <f>IF($C110="","",TEXTJOIN(" | ",TRUE,IF($C110="","Thiếu mã nhân viên",""),IF(COUNTIF($C$6:$C$505,$C110)&gt;1,"Trùng mã nhân viên",""),IF($D110="","Thiếu họ tên",""),IF(AND($E110&lt;&gt;"",OR(NOT(ISNUMBER($E110)),$E110&lt;DATE(1940,1,1),$E110&gt;TODAY())),"Ngày sinh không hợp lệ",""),IF(AND($G110&lt;&gt;"",OR(ISERROR(SEARCH("@",$G110)),ISERROR(SEARCH(".",$G110)))),"Email cá nhân không hợp lệ",""),IF(AND($H110&lt;&gt;"",OR(ISERROR(SEARCH("@",$H110)),ISERROR(SEARCH(".",$H110)))),"Email công ty không hợp lệ",""),IF(AND($I110&lt;&gt;"",OR(LEN($I110)&lt;9,LEN($I110)&gt;15,NOT(ISNUMBER(--$I110)))),"Số điện thoại không hợp lệ","")))</f>
        <v/>
      </c>
      <c r="C110" s="20" t="n"/>
      <c r="D110" s="21" t="n"/>
      <c r="E110" s="22" t="n"/>
      <c r="F110" s="21" t="n"/>
      <c r="G110" s="21" t="n"/>
      <c r="H110" s="21" t="n"/>
      <c r="I110" s="20" t="n"/>
      <c r="J110" s="21" t="n"/>
      <c r="K110" s="21" t="n"/>
    </row>
    <row r="111">
      <c r="A111" s="19">
        <f>IF($C111="","CHƯA NHẬP",IF($B111="","HỢP LỆ","LỖI"))</f>
        <v/>
      </c>
      <c r="B111" s="19">
        <f>IF($C111="","",TEXTJOIN(" | ",TRUE,IF($C111="","Thiếu mã nhân viên",""),IF(COUNTIF($C$6:$C$505,$C111)&gt;1,"Trùng mã nhân viên",""),IF($D111="","Thiếu họ tên",""),IF(AND($E111&lt;&gt;"",OR(NOT(ISNUMBER($E111)),$E111&lt;DATE(1940,1,1),$E111&gt;TODAY())),"Ngày sinh không hợp lệ",""),IF(AND($G111&lt;&gt;"",OR(ISERROR(SEARCH("@",$G111)),ISERROR(SEARCH(".",$G111)))),"Email cá nhân không hợp lệ",""),IF(AND($H111&lt;&gt;"",OR(ISERROR(SEARCH("@",$H111)),ISERROR(SEARCH(".",$H111)))),"Email công ty không hợp lệ",""),IF(AND($I111&lt;&gt;"",OR(LEN($I111)&lt;9,LEN($I111)&gt;15,NOT(ISNUMBER(--$I111)))),"Số điện thoại không hợp lệ","")))</f>
        <v/>
      </c>
      <c r="C111" s="20" t="n"/>
      <c r="D111" s="21" t="n"/>
      <c r="E111" s="22" t="n"/>
      <c r="F111" s="21" t="n"/>
      <c r="G111" s="21" t="n"/>
      <c r="H111" s="21" t="n"/>
      <c r="I111" s="20" t="n"/>
      <c r="J111" s="21" t="n"/>
      <c r="K111" s="21" t="n"/>
    </row>
    <row r="112">
      <c r="A112" s="19">
        <f>IF($C112="","CHƯA NHẬP",IF($B112="","HỢP LỆ","LỖI"))</f>
        <v/>
      </c>
      <c r="B112" s="19">
        <f>IF($C112="","",TEXTJOIN(" | ",TRUE,IF($C112="","Thiếu mã nhân viên",""),IF(COUNTIF($C$6:$C$505,$C112)&gt;1,"Trùng mã nhân viên",""),IF($D112="","Thiếu họ tên",""),IF(AND($E112&lt;&gt;"",OR(NOT(ISNUMBER($E112)),$E112&lt;DATE(1940,1,1),$E112&gt;TODAY())),"Ngày sinh không hợp lệ",""),IF(AND($G112&lt;&gt;"",OR(ISERROR(SEARCH("@",$G112)),ISERROR(SEARCH(".",$G112)))),"Email cá nhân không hợp lệ",""),IF(AND($H112&lt;&gt;"",OR(ISERROR(SEARCH("@",$H112)),ISERROR(SEARCH(".",$H112)))),"Email công ty không hợp lệ",""),IF(AND($I112&lt;&gt;"",OR(LEN($I112)&lt;9,LEN($I112)&gt;15,NOT(ISNUMBER(--$I112)))),"Số điện thoại không hợp lệ","")))</f>
        <v/>
      </c>
      <c r="C112" s="20" t="n"/>
      <c r="D112" s="21" t="n"/>
      <c r="E112" s="22" t="n"/>
      <c r="F112" s="21" t="n"/>
      <c r="G112" s="21" t="n"/>
      <c r="H112" s="21" t="n"/>
      <c r="I112" s="20" t="n"/>
      <c r="J112" s="21" t="n"/>
      <c r="K112" s="21" t="n"/>
    </row>
    <row r="113">
      <c r="A113" s="19">
        <f>IF($C113="","CHƯA NHẬP",IF($B113="","HỢP LỆ","LỖI"))</f>
        <v/>
      </c>
      <c r="B113" s="19">
        <f>IF($C113="","",TEXTJOIN(" | ",TRUE,IF($C113="","Thiếu mã nhân viên",""),IF(COUNTIF($C$6:$C$505,$C113)&gt;1,"Trùng mã nhân viên",""),IF($D113="","Thiếu họ tên",""),IF(AND($E113&lt;&gt;"",OR(NOT(ISNUMBER($E113)),$E113&lt;DATE(1940,1,1),$E113&gt;TODAY())),"Ngày sinh không hợp lệ",""),IF(AND($G113&lt;&gt;"",OR(ISERROR(SEARCH("@",$G113)),ISERROR(SEARCH(".",$G113)))),"Email cá nhân không hợp lệ",""),IF(AND($H113&lt;&gt;"",OR(ISERROR(SEARCH("@",$H113)),ISERROR(SEARCH(".",$H113)))),"Email công ty không hợp lệ",""),IF(AND($I113&lt;&gt;"",OR(LEN($I113)&lt;9,LEN($I113)&gt;15,NOT(ISNUMBER(--$I113)))),"Số điện thoại không hợp lệ","")))</f>
        <v/>
      </c>
      <c r="C113" s="20" t="n"/>
      <c r="D113" s="21" t="n"/>
      <c r="E113" s="22" t="n"/>
      <c r="F113" s="21" t="n"/>
      <c r="G113" s="21" t="n"/>
      <c r="H113" s="21" t="n"/>
      <c r="I113" s="20" t="n"/>
      <c r="J113" s="21" t="n"/>
      <c r="K113" s="21" t="n"/>
    </row>
    <row r="114">
      <c r="A114" s="19">
        <f>IF($C114="","CHƯA NHẬP",IF($B114="","HỢP LỆ","LỖI"))</f>
        <v/>
      </c>
      <c r="B114" s="19">
        <f>IF($C114="","",TEXTJOIN(" | ",TRUE,IF($C114="","Thiếu mã nhân viên",""),IF(COUNTIF($C$6:$C$505,$C114)&gt;1,"Trùng mã nhân viên",""),IF($D114="","Thiếu họ tên",""),IF(AND($E114&lt;&gt;"",OR(NOT(ISNUMBER($E114)),$E114&lt;DATE(1940,1,1),$E114&gt;TODAY())),"Ngày sinh không hợp lệ",""),IF(AND($G114&lt;&gt;"",OR(ISERROR(SEARCH("@",$G114)),ISERROR(SEARCH(".",$G114)))),"Email cá nhân không hợp lệ",""),IF(AND($H114&lt;&gt;"",OR(ISERROR(SEARCH("@",$H114)),ISERROR(SEARCH(".",$H114)))),"Email công ty không hợp lệ",""),IF(AND($I114&lt;&gt;"",OR(LEN($I114)&lt;9,LEN($I114)&gt;15,NOT(ISNUMBER(--$I114)))),"Số điện thoại không hợp lệ","")))</f>
        <v/>
      </c>
      <c r="C114" s="20" t="n"/>
      <c r="D114" s="21" t="n"/>
      <c r="E114" s="22" t="n"/>
      <c r="F114" s="21" t="n"/>
      <c r="G114" s="21" t="n"/>
      <c r="H114" s="21" t="n"/>
      <c r="I114" s="20" t="n"/>
      <c r="J114" s="21" t="n"/>
      <c r="K114" s="21" t="n"/>
    </row>
    <row r="115">
      <c r="A115" s="19">
        <f>IF($C115="","CHƯA NHẬP",IF($B115="","HỢP LỆ","LỖI"))</f>
        <v/>
      </c>
      <c r="B115" s="19">
        <f>IF($C115="","",TEXTJOIN(" | ",TRUE,IF($C115="","Thiếu mã nhân viên",""),IF(COUNTIF($C$6:$C$505,$C115)&gt;1,"Trùng mã nhân viên",""),IF($D115="","Thiếu họ tên",""),IF(AND($E115&lt;&gt;"",OR(NOT(ISNUMBER($E115)),$E115&lt;DATE(1940,1,1),$E115&gt;TODAY())),"Ngày sinh không hợp lệ",""),IF(AND($G115&lt;&gt;"",OR(ISERROR(SEARCH("@",$G115)),ISERROR(SEARCH(".",$G115)))),"Email cá nhân không hợp lệ",""),IF(AND($H115&lt;&gt;"",OR(ISERROR(SEARCH("@",$H115)),ISERROR(SEARCH(".",$H115)))),"Email công ty không hợp lệ",""),IF(AND($I115&lt;&gt;"",OR(LEN($I115)&lt;9,LEN($I115)&gt;15,NOT(ISNUMBER(--$I115)))),"Số điện thoại không hợp lệ","")))</f>
        <v/>
      </c>
      <c r="C115" s="20" t="n"/>
      <c r="D115" s="21" t="n"/>
      <c r="E115" s="22" t="n"/>
      <c r="F115" s="21" t="n"/>
      <c r="G115" s="21" t="n"/>
      <c r="H115" s="21" t="n"/>
      <c r="I115" s="20" t="n"/>
      <c r="J115" s="21" t="n"/>
      <c r="K115" s="21" t="n"/>
    </row>
    <row r="116">
      <c r="A116" s="19">
        <f>IF($C116="","CHƯA NHẬP",IF($B116="","HỢP LỆ","LỖI"))</f>
        <v/>
      </c>
      <c r="B116" s="19">
        <f>IF($C116="","",TEXTJOIN(" | ",TRUE,IF($C116="","Thiếu mã nhân viên",""),IF(COUNTIF($C$6:$C$505,$C116)&gt;1,"Trùng mã nhân viên",""),IF($D116="","Thiếu họ tên",""),IF(AND($E116&lt;&gt;"",OR(NOT(ISNUMBER($E116)),$E116&lt;DATE(1940,1,1),$E116&gt;TODAY())),"Ngày sinh không hợp lệ",""),IF(AND($G116&lt;&gt;"",OR(ISERROR(SEARCH("@",$G116)),ISERROR(SEARCH(".",$G116)))),"Email cá nhân không hợp lệ",""),IF(AND($H116&lt;&gt;"",OR(ISERROR(SEARCH("@",$H116)),ISERROR(SEARCH(".",$H116)))),"Email công ty không hợp lệ",""),IF(AND($I116&lt;&gt;"",OR(LEN($I116)&lt;9,LEN($I116)&gt;15,NOT(ISNUMBER(--$I116)))),"Số điện thoại không hợp lệ","")))</f>
        <v/>
      </c>
      <c r="C116" s="20" t="n"/>
      <c r="D116" s="21" t="n"/>
      <c r="E116" s="22" t="n"/>
      <c r="F116" s="21" t="n"/>
      <c r="G116" s="21" t="n"/>
      <c r="H116" s="21" t="n"/>
      <c r="I116" s="20" t="n"/>
      <c r="J116" s="21" t="n"/>
      <c r="K116" s="21" t="n"/>
    </row>
    <row r="117">
      <c r="A117" s="19">
        <f>IF($C117="","CHƯA NHẬP",IF($B117="","HỢP LỆ","LỖI"))</f>
        <v/>
      </c>
      <c r="B117" s="19">
        <f>IF($C117="","",TEXTJOIN(" | ",TRUE,IF($C117="","Thiếu mã nhân viên",""),IF(COUNTIF($C$6:$C$505,$C117)&gt;1,"Trùng mã nhân viên",""),IF($D117="","Thiếu họ tên",""),IF(AND($E117&lt;&gt;"",OR(NOT(ISNUMBER($E117)),$E117&lt;DATE(1940,1,1),$E117&gt;TODAY())),"Ngày sinh không hợp lệ",""),IF(AND($G117&lt;&gt;"",OR(ISERROR(SEARCH("@",$G117)),ISERROR(SEARCH(".",$G117)))),"Email cá nhân không hợp lệ",""),IF(AND($H117&lt;&gt;"",OR(ISERROR(SEARCH("@",$H117)),ISERROR(SEARCH(".",$H117)))),"Email công ty không hợp lệ",""),IF(AND($I117&lt;&gt;"",OR(LEN($I117)&lt;9,LEN($I117)&gt;15,NOT(ISNUMBER(--$I117)))),"Số điện thoại không hợp lệ","")))</f>
        <v/>
      </c>
      <c r="C117" s="20" t="n"/>
      <c r="D117" s="21" t="n"/>
      <c r="E117" s="22" t="n"/>
      <c r="F117" s="21" t="n"/>
      <c r="G117" s="21" t="n"/>
      <c r="H117" s="21" t="n"/>
      <c r="I117" s="20" t="n"/>
      <c r="J117" s="21" t="n"/>
      <c r="K117" s="21" t="n"/>
    </row>
    <row r="118">
      <c r="A118" s="19">
        <f>IF($C118="","CHƯA NHẬP",IF($B118="","HỢP LỆ","LỖI"))</f>
        <v/>
      </c>
      <c r="B118" s="19">
        <f>IF($C118="","",TEXTJOIN(" | ",TRUE,IF($C118="","Thiếu mã nhân viên",""),IF(COUNTIF($C$6:$C$505,$C118)&gt;1,"Trùng mã nhân viên",""),IF($D118="","Thiếu họ tên",""),IF(AND($E118&lt;&gt;"",OR(NOT(ISNUMBER($E118)),$E118&lt;DATE(1940,1,1),$E118&gt;TODAY())),"Ngày sinh không hợp lệ",""),IF(AND($G118&lt;&gt;"",OR(ISERROR(SEARCH("@",$G118)),ISERROR(SEARCH(".",$G118)))),"Email cá nhân không hợp lệ",""),IF(AND($H118&lt;&gt;"",OR(ISERROR(SEARCH("@",$H118)),ISERROR(SEARCH(".",$H118)))),"Email công ty không hợp lệ",""),IF(AND($I118&lt;&gt;"",OR(LEN($I118)&lt;9,LEN($I118)&gt;15,NOT(ISNUMBER(--$I118)))),"Số điện thoại không hợp lệ","")))</f>
        <v/>
      </c>
      <c r="C118" s="20" t="n"/>
      <c r="D118" s="21" t="n"/>
      <c r="E118" s="22" t="n"/>
      <c r="F118" s="21" t="n"/>
      <c r="G118" s="21" t="n"/>
      <c r="H118" s="21" t="n"/>
      <c r="I118" s="20" t="n"/>
      <c r="J118" s="21" t="n"/>
      <c r="K118" s="21" t="n"/>
    </row>
    <row r="119">
      <c r="A119" s="19">
        <f>IF($C119="","CHƯA NHẬP",IF($B119="","HỢP LỆ","LỖI"))</f>
        <v/>
      </c>
      <c r="B119" s="19">
        <f>IF($C119="","",TEXTJOIN(" | ",TRUE,IF($C119="","Thiếu mã nhân viên",""),IF(COUNTIF($C$6:$C$505,$C119)&gt;1,"Trùng mã nhân viên",""),IF($D119="","Thiếu họ tên",""),IF(AND($E119&lt;&gt;"",OR(NOT(ISNUMBER($E119)),$E119&lt;DATE(1940,1,1),$E119&gt;TODAY())),"Ngày sinh không hợp lệ",""),IF(AND($G119&lt;&gt;"",OR(ISERROR(SEARCH("@",$G119)),ISERROR(SEARCH(".",$G119)))),"Email cá nhân không hợp lệ",""),IF(AND($H119&lt;&gt;"",OR(ISERROR(SEARCH("@",$H119)),ISERROR(SEARCH(".",$H119)))),"Email công ty không hợp lệ",""),IF(AND($I119&lt;&gt;"",OR(LEN($I119)&lt;9,LEN($I119)&gt;15,NOT(ISNUMBER(--$I119)))),"Số điện thoại không hợp lệ","")))</f>
        <v/>
      </c>
      <c r="C119" s="20" t="n"/>
      <c r="D119" s="21" t="n"/>
      <c r="E119" s="22" t="n"/>
      <c r="F119" s="21" t="n"/>
      <c r="G119" s="21" t="n"/>
      <c r="H119" s="21" t="n"/>
      <c r="I119" s="20" t="n"/>
      <c r="J119" s="21" t="n"/>
      <c r="K119" s="21" t="n"/>
    </row>
    <row r="120">
      <c r="A120" s="19">
        <f>IF($C120="","CHƯA NHẬP",IF($B120="","HỢP LỆ","LỖI"))</f>
        <v/>
      </c>
      <c r="B120" s="19">
        <f>IF($C120="","",TEXTJOIN(" | ",TRUE,IF($C120="","Thiếu mã nhân viên",""),IF(COUNTIF($C$6:$C$505,$C120)&gt;1,"Trùng mã nhân viên",""),IF($D120="","Thiếu họ tên",""),IF(AND($E120&lt;&gt;"",OR(NOT(ISNUMBER($E120)),$E120&lt;DATE(1940,1,1),$E120&gt;TODAY())),"Ngày sinh không hợp lệ",""),IF(AND($G120&lt;&gt;"",OR(ISERROR(SEARCH("@",$G120)),ISERROR(SEARCH(".",$G120)))),"Email cá nhân không hợp lệ",""),IF(AND($H120&lt;&gt;"",OR(ISERROR(SEARCH("@",$H120)),ISERROR(SEARCH(".",$H120)))),"Email công ty không hợp lệ",""),IF(AND($I120&lt;&gt;"",OR(LEN($I120)&lt;9,LEN($I120)&gt;15,NOT(ISNUMBER(--$I120)))),"Số điện thoại không hợp lệ","")))</f>
        <v/>
      </c>
      <c r="C120" s="20" t="n"/>
      <c r="D120" s="21" t="n"/>
      <c r="E120" s="22" t="n"/>
      <c r="F120" s="21" t="n"/>
      <c r="G120" s="21" t="n"/>
      <c r="H120" s="21" t="n"/>
      <c r="I120" s="20" t="n"/>
      <c r="J120" s="21" t="n"/>
      <c r="K120" s="21" t="n"/>
    </row>
    <row r="121">
      <c r="A121" s="19">
        <f>IF($C121="","CHƯA NHẬP",IF($B121="","HỢP LỆ","LỖI"))</f>
        <v/>
      </c>
      <c r="B121" s="19">
        <f>IF($C121="","",TEXTJOIN(" | ",TRUE,IF($C121="","Thiếu mã nhân viên",""),IF(COUNTIF($C$6:$C$505,$C121)&gt;1,"Trùng mã nhân viên",""),IF($D121="","Thiếu họ tên",""),IF(AND($E121&lt;&gt;"",OR(NOT(ISNUMBER($E121)),$E121&lt;DATE(1940,1,1),$E121&gt;TODAY())),"Ngày sinh không hợp lệ",""),IF(AND($G121&lt;&gt;"",OR(ISERROR(SEARCH("@",$G121)),ISERROR(SEARCH(".",$G121)))),"Email cá nhân không hợp lệ",""),IF(AND($H121&lt;&gt;"",OR(ISERROR(SEARCH("@",$H121)),ISERROR(SEARCH(".",$H121)))),"Email công ty không hợp lệ",""),IF(AND($I121&lt;&gt;"",OR(LEN($I121)&lt;9,LEN($I121)&gt;15,NOT(ISNUMBER(--$I121)))),"Số điện thoại không hợp lệ","")))</f>
        <v/>
      </c>
      <c r="C121" s="20" t="n"/>
      <c r="D121" s="21" t="n"/>
      <c r="E121" s="22" t="n"/>
      <c r="F121" s="21" t="n"/>
      <c r="G121" s="21" t="n"/>
      <c r="H121" s="21" t="n"/>
      <c r="I121" s="20" t="n"/>
      <c r="J121" s="21" t="n"/>
      <c r="K121" s="21" t="n"/>
    </row>
    <row r="122">
      <c r="A122" s="19">
        <f>IF($C122="","CHƯA NHẬP",IF($B122="","HỢP LỆ","LỖI"))</f>
        <v/>
      </c>
      <c r="B122" s="19">
        <f>IF($C122="","",TEXTJOIN(" | ",TRUE,IF($C122="","Thiếu mã nhân viên",""),IF(COUNTIF($C$6:$C$505,$C122)&gt;1,"Trùng mã nhân viên",""),IF($D122="","Thiếu họ tên",""),IF(AND($E122&lt;&gt;"",OR(NOT(ISNUMBER($E122)),$E122&lt;DATE(1940,1,1),$E122&gt;TODAY())),"Ngày sinh không hợp lệ",""),IF(AND($G122&lt;&gt;"",OR(ISERROR(SEARCH("@",$G122)),ISERROR(SEARCH(".",$G122)))),"Email cá nhân không hợp lệ",""),IF(AND($H122&lt;&gt;"",OR(ISERROR(SEARCH("@",$H122)),ISERROR(SEARCH(".",$H122)))),"Email công ty không hợp lệ",""),IF(AND($I122&lt;&gt;"",OR(LEN($I122)&lt;9,LEN($I122)&gt;15,NOT(ISNUMBER(--$I122)))),"Số điện thoại không hợp lệ","")))</f>
        <v/>
      </c>
      <c r="C122" s="20" t="n"/>
      <c r="D122" s="21" t="n"/>
      <c r="E122" s="22" t="n"/>
      <c r="F122" s="21" t="n"/>
      <c r="G122" s="21" t="n"/>
      <c r="H122" s="21" t="n"/>
      <c r="I122" s="20" t="n"/>
      <c r="J122" s="21" t="n"/>
      <c r="K122" s="21" t="n"/>
    </row>
    <row r="123">
      <c r="A123" s="19">
        <f>IF($C123="","CHƯA NHẬP",IF($B123="","HỢP LỆ","LỖI"))</f>
        <v/>
      </c>
      <c r="B123" s="19">
        <f>IF($C123="","",TEXTJOIN(" | ",TRUE,IF($C123="","Thiếu mã nhân viên",""),IF(COUNTIF($C$6:$C$505,$C123)&gt;1,"Trùng mã nhân viên",""),IF($D123="","Thiếu họ tên",""),IF(AND($E123&lt;&gt;"",OR(NOT(ISNUMBER($E123)),$E123&lt;DATE(1940,1,1),$E123&gt;TODAY())),"Ngày sinh không hợp lệ",""),IF(AND($G123&lt;&gt;"",OR(ISERROR(SEARCH("@",$G123)),ISERROR(SEARCH(".",$G123)))),"Email cá nhân không hợp lệ",""),IF(AND($H123&lt;&gt;"",OR(ISERROR(SEARCH("@",$H123)),ISERROR(SEARCH(".",$H123)))),"Email công ty không hợp lệ",""),IF(AND($I123&lt;&gt;"",OR(LEN($I123)&lt;9,LEN($I123)&gt;15,NOT(ISNUMBER(--$I123)))),"Số điện thoại không hợp lệ","")))</f>
        <v/>
      </c>
      <c r="C123" s="20" t="n"/>
      <c r="D123" s="21" t="n"/>
      <c r="E123" s="22" t="n"/>
      <c r="F123" s="21" t="n"/>
      <c r="G123" s="21" t="n"/>
      <c r="H123" s="21" t="n"/>
      <c r="I123" s="20" t="n"/>
      <c r="J123" s="21" t="n"/>
      <c r="K123" s="21" t="n"/>
    </row>
    <row r="124">
      <c r="A124" s="19">
        <f>IF($C124="","CHƯA NHẬP",IF($B124="","HỢP LỆ","LỖI"))</f>
        <v/>
      </c>
      <c r="B124" s="19">
        <f>IF($C124="","",TEXTJOIN(" | ",TRUE,IF($C124="","Thiếu mã nhân viên",""),IF(COUNTIF($C$6:$C$505,$C124)&gt;1,"Trùng mã nhân viên",""),IF($D124="","Thiếu họ tên",""),IF(AND($E124&lt;&gt;"",OR(NOT(ISNUMBER($E124)),$E124&lt;DATE(1940,1,1),$E124&gt;TODAY())),"Ngày sinh không hợp lệ",""),IF(AND($G124&lt;&gt;"",OR(ISERROR(SEARCH("@",$G124)),ISERROR(SEARCH(".",$G124)))),"Email cá nhân không hợp lệ",""),IF(AND($H124&lt;&gt;"",OR(ISERROR(SEARCH("@",$H124)),ISERROR(SEARCH(".",$H124)))),"Email công ty không hợp lệ",""),IF(AND($I124&lt;&gt;"",OR(LEN($I124)&lt;9,LEN($I124)&gt;15,NOT(ISNUMBER(--$I124)))),"Số điện thoại không hợp lệ","")))</f>
        <v/>
      </c>
      <c r="C124" s="20" t="n"/>
      <c r="D124" s="21" t="n"/>
      <c r="E124" s="22" t="n"/>
      <c r="F124" s="21" t="n"/>
      <c r="G124" s="21" t="n"/>
      <c r="H124" s="21" t="n"/>
      <c r="I124" s="20" t="n"/>
      <c r="J124" s="21" t="n"/>
      <c r="K124" s="21" t="n"/>
    </row>
    <row r="125">
      <c r="A125" s="19">
        <f>IF($C125="","CHƯA NHẬP",IF($B125="","HỢP LỆ","LỖI"))</f>
        <v/>
      </c>
      <c r="B125" s="19">
        <f>IF($C125="","",TEXTJOIN(" | ",TRUE,IF($C125="","Thiếu mã nhân viên",""),IF(COUNTIF($C$6:$C$505,$C125)&gt;1,"Trùng mã nhân viên",""),IF($D125="","Thiếu họ tên",""),IF(AND($E125&lt;&gt;"",OR(NOT(ISNUMBER($E125)),$E125&lt;DATE(1940,1,1),$E125&gt;TODAY())),"Ngày sinh không hợp lệ",""),IF(AND($G125&lt;&gt;"",OR(ISERROR(SEARCH("@",$G125)),ISERROR(SEARCH(".",$G125)))),"Email cá nhân không hợp lệ",""),IF(AND($H125&lt;&gt;"",OR(ISERROR(SEARCH("@",$H125)),ISERROR(SEARCH(".",$H125)))),"Email công ty không hợp lệ",""),IF(AND($I125&lt;&gt;"",OR(LEN($I125)&lt;9,LEN($I125)&gt;15,NOT(ISNUMBER(--$I125)))),"Số điện thoại không hợp lệ","")))</f>
        <v/>
      </c>
      <c r="C125" s="20" t="n"/>
      <c r="D125" s="21" t="n"/>
      <c r="E125" s="22" t="n"/>
      <c r="F125" s="21" t="n"/>
      <c r="G125" s="21" t="n"/>
      <c r="H125" s="21" t="n"/>
      <c r="I125" s="20" t="n"/>
      <c r="J125" s="21" t="n"/>
      <c r="K125" s="21" t="n"/>
    </row>
    <row r="126">
      <c r="A126" s="19">
        <f>IF($C126="","CHƯA NHẬP",IF($B126="","HỢP LỆ","LỖI"))</f>
        <v/>
      </c>
      <c r="B126" s="19">
        <f>IF($C126="","",TEXTJOIN(" | ",TRUE,IF($C126="","Thiếu mã nhân viên",""),IF(COUNTIF($C$6:$C$505,$C126)&gt;1,"Trùng mã nhân viên",""),IF($D126="","Thiếu họ tên",""),IF(AND($E126&lt;&gt;"",OR(NOT(ISNUMBER($E126)),$E126&lt;DATE(1940,1,1),$E126&gt;TODAY())),"Ngày sinh không hợp lệ",""),IF(AND($G126&lt;&gt;"",OR(ISERROR(SEARCH("@",$G126)),ISERROR(SEARCH(".",$G126)))),"Email cá nhân không hợp lệ",""),IF(AND($H126&lt;&gt;"",OR(ISERROR(SEARCH("@",$H126)),ISERROR(SEARCH(".",$H126)))),"Email công ty không hợp lệ",""),IF(AND($I126&lt;&gt;"",OR(LEN($I126)&lt;9,LEN($I126)&gt;15,NOT(ISNUMBER(--$I126)))),"Số điện thoại không hợp lệ","")))</f>
        <v/>
      </c>
      <c r="C126" s="20" t="n"/>
      <c r="D126" s="21" t="n"/>
      <c r="E126" s="22" t="n"/>
      <c r="F126" s="21" t="n"/>
      <c r="G126" s="21" t="n"/>
      <c r="H126" s="21" t="n"/>
      <c r="I126" s="20" t="n"/>
      <c r="J126" s="21" t="n"/>
      <c r="K126" s="21" t="n"/>
    </row>
    <row r="127">
      <c r="A127" s="19">
        <f>IF($C127="","CHƯA NHẬP",IF($B127="","HỢP LỆ","LỖI"))</f>
        <v/>
      </c>
      <c r="B127" s="19">
        <f>IF($C127="","",TEXTJOIN(" | ",TRUE,IF($C127="","Thiếu mã nhân viên",""),IF(COUNTIF($C$6:$C$505,$C127)&gt;1,"Trùng mã nhân viên",""),IF($D127="","Thiếu họ tên",""),IF(AND($E127&lt;&gt;"",OR(NOT(ISNUMBER($E127)),$E127&lt;DATE(1940,1,1),$E127&gt;TODAY())),"Ngày sinh không hợp lệ",""),IF(AND($G127&lt;&gt;"",OR(ISERROR(SEARCH("@",$G127)),ISERROR(SEARCH(".",$G127)))),"Email cá nhân không hợp lệ",""),IF(AND($H127&lt;&gt;"",OR(ISERROR(SEARCH("@",$H127)),ISERROR(SEARCH(".",$H127)))),"Email công ty không hợp lệ",""),IF(AND($I127&lt;&gt;"",OR(LEN($I127)&lt;9,LEN($I127)&gt;15,NOT(ISNUMBER(--$I127)))),"Số điện thoại không hợp lệ","")))</f>
        <v/>
      </c>
      <c r="C127" s="20" t="n"/>
      <c r="D127" s="21" t="n"/>
      <c r="E127" s="22" t="n"/>
      <c r="F127" s="21" t="n"/>
      <c r="G127" s="21" t="n"/>
      <c r="H127" s="21" t="n"/>
      <c r="I127" s="20" t="n"/>
      <c r="J127" s="21" t="n"/>
      <c r="K127" s="21" t="n"/>
    </row>
    <row r="128">
      <c r="A128" s="19">
        <f>IF($C128="","CHƯA NHẬP",IF($B128="","HỢP LỆ","LỖI"))</f>
        <v/>
      </c>
      <c r="B128" s="19">
        <f>IF($C128="","",TEXTJOIN(" | ",TRUE,IF($C128="","Thiếu mã nhân viên",""),IF(COUNTIF($C$6:$C$505,$C128)&gt;1,"Trùng mã nhân viên",""),IF($D128="","Thiếu họ tên",""),IF(AND($E128&lt;&gt;"",OR(NOT(ISNUMBER($E128)),$E128&lt;DATE(1940,1,1),$E128&gt;TODAY())),"Ngày sinh không hợp lệ",""),IF(AND($G128&lt;&gt;"",OR(ISERROR(SEARCH("@",$G128)),ISERROR(SEARCH(".",$G128)))),"Email cá nhân không hợp lệ",""),IF(AND($H128&lt;&gt;"",OR(ISERROR(SEARCH("@",$H128)),ISERROR(SEARCH(".",$H128)))),"Email công ty không hợp lệ",""),IF(AND($I128&lt;&gt;"",OR(LEN($I128)&lt;9,LEN($I128)&gt;15,NOT(ISNUMBER(--$I128)))),"Số điện thoại không hợp lệ","")))</f>
        <v/>
      </c>
      <c r="C128" s="20" t="n"/>
      <c r="D128" s="21" t="n"/>
      <c r="E128" s="22" t="n"/>
      <c r="F128" s="21" t="n"/>
      <c r="G128" s="21" t="n"/>
      <c r="H128" s="21" t="n"/>
      <c r="I128" s="20" t="n"/>
      <c r="J128" s="21" t="n"/>
      <c r="K128" s="21" t="n"/>
    </row>
    <row r="129">
      <c r="A129" s="19">
        <f>IF($C129="","CHƯA NHẬP",IF($B129="","HỢP LỆ","LỖI"))</f>
        <v/>
      </c>
      <c r="B129" s="19">
        <f>IF($C129="","",TEXTJOIN(" | ",TRUE,IF($C129="","Thiếu mã nhân viên",""),IF(COUNTIF($C$6:$C$505,$C129)&gt;1,"Trùng mã nhân viên",""),IF($D129="","Thiếu họ tên",""),IF(AND($E129&lt;&gt;"",OR(NOT(ISNUMBER($E129)),$E129&lt;DATE(1940,1,1),$E129&gt;TODAY())),"Ngày sinh không hợp lệ",""),IF(AND($G129&lt;&gt;"",OR(ISERROR(SEARCH("@",$G129)),ISERROR(SEARCH(".",$G129)))),"Email cá nhân không hợp lệ",""),IF(AND($H129&lt;&gt;"",OR(ISERROR(SEARCH("@",$H129)),ISERROR(SEARCH(".",$H129)))),"Email công ty không hợp lệ",""),IF(AND($I129&lt;&gt;"",OR(LEN($I129)&lt;9,LEN($I129)&gt;15,NOT(ISNUMBER(--$I129)))),"Số điện thoại không hợp lệ","")))</f>
        <v/>
      </c>
      <c r="C129" s="20" t="n"/>
      <c r="D129" s="21" t="n"/>
      <c r="E129" s="22" t="n"/>
      <c r="F129" s="21" t="n"/>
      <c r="G129" s="21" t="n"/>
      <c r="H129" s="21" t="n"/>
      <c r="I129" s="20" t="n"/>
      <c r="J129" s="21" t="n"/>
      <c r="K129" s="21" t="n"/>
    </row>
    <row r="130">
      <c r="A130" s="19">
        <f>IF($C130="","CHƯA NHẬP",IF($B130="","HỢP LỆ","LỖI"))</f>
        <v/>
      </c>
      <c r="B130" s="19">
        <f>IF($C130="","",TEXTJOIN(" | ",TRUE,IF($C130="","Thiếu mã nhân viên",""),IF(COUNTIF($C$6:$C$505,$C130)&gt;1,"Trùng mã nhân viên",""),IF($D130="","Thiếu họ tên",""),IF(AND($E130&lt;&gt;"",OR(NOT(ISNUMBER($E130)),$E130&lt;DATE(1940,1,1),$E130&gt;TODAY())),"Ngày sinh không hợp lệ",""),IF(AND($G130&lt;&gt;"",OR(ISERROR(SEARCH("@",$G130)),ISERROR(SEARCH(".",$G130)))),"Email cá nhân không hợp lệ",""),IF(AND($H130&lt;&gt;"",OR(ISERROR(SEARCH("@",$H130)),ISERROR(SEARCH(".",$H130)))),"Email công ty không hợp lệ",""),IF(AND($I130&lt;&gt;"",OR(LEN($I130)&lt;9,LEN($I130)&gt;15,NOT(ISNUMBER(--$I130)))),"Số điện thoại không hợp lệ","")))</f>
        <v/>
      </c>
      <c r="C130" s="20" t="n"/>
      <c r="D130" s="21" t="n"/>
      <c r="E130" s="22" t="n"/>
      <c r="F130" s="21" t="n"/>
      <c r="G130" s="21" t="n"/>
      <c r="H130" s="21" t="n"/>
      <c r="I130" s="20" t="n"/>
      <c r="J130" s="21" t="n"/>
      <c r="K130" s="21" t="n"/>
    </row>
    <row r="131">
      <c r="A131" s="19">
        <f>IF($C131="","CHƯA NHẬP",IF($B131="","HỢP LỆ","LỖI"))</f>
        <v/>
      </c>
      <c r="B131" s="19">
        <f>IF($C131="","",TEXTJOIN(" | ",TRUE,IF($C131="","Thiếu mã nhân viên",""),IF(COUNTIF($C$6:$C$505,$C131)&gt;1,"Trùng mã nhân viên",""),IF($D131="","Thiếu họ tên",""),IF(AND($E131&lt;&gt;"",OR(NOT(ISNUMBER($E131)),$E131&lt;DATE(1940,1,1),$E131&gt;TODAY())),"Ngày sinh không hợp lệ",""),IF(AND($G131&lt;&gt;"",OR(ISERROR(SEARCH("@",$G131)),ISERROR(SEARCH(".",$G131)))),"Email cá nhân không hợp lệ",""),IF(AND($H131&lt;&gt;"",OR(ISERROR(SEARCH("@",$H131)),ISERROR(SEARCH(".",$H131)))),"Email công ty không hợp lệ",""),IF(AND($I131&lt;&gt;"",OR(LEN($I131)&lt;9,LEN($I131)&gt;15,NOT(ISNUMBER(--$I131)))),"Số điện thoại không hợp lệ","")))</f>
        <v/>
      </c>
      <c r="C131" s="20" t="n"/>
      <c r="D131" s="21" t="n"/>
      <c r="E131" s="22" t="n"/>
      <c r="F131" s="21" t="n"/>
      <c r="G131" s="21" t="n"/>
      <c r="H131" s="21" t="n"/>
      <c r="I131" s="20" t="n"/>
      <c r="J131" s="21" t="n"/>
      <c r="K131" s="21" t="n"/>
    </row>
    <row r="132">
      <c r="A132" s="19">
        <f>IF($C132="","CHƯA NHẬP",IF($B132="","HỢP LỆ","LỖI"))</f>
        <v/>
      </c>
      <c r="B132" s="19">
        <f>IF($C132="","",TEXTJOIN(" | ",TRUE,IF($C132="","Thiếu mã nhân viên",""),IF(COUNTIF($C$6:$C$505,$C132)&gt;1,"Trùng mã nhân viên",""),IF($D132="","Thiếu họ tên",""),IF(AND($E132&lt;&gt;"",OR(NOT(ISNUMBER($E132)),$E132&lt;DATE(1940,1,1),$E132&gt;TODAY())),"Ngày sinh không hợp lệ",""),IF(AND($G132&lt;&gt;"",OR(ISERROR(SEARCH("@",$G132)),ISERROR(SEARCH(".",$G132)))),"Email cá nhân không hợp lệ",""),IF(AND($H132&lt;&gt;"",OR(ISERROR(SEARCH("@",$H132)),ISERROR(SEARCH(".",$H132)))),"Email công ty không hợp lệ",""),IF(AND($I132&lt;&gt;"",OR(LEN($I132)&lt;9,LEN($I132)&gt;15,NOT(ISNUMBER(--$I132)))),"Số điện thoại không hợp lệ","")))</f>
        <v/>
      </c>
      <c r="C132" s="20" t="n"/>
      <c r="D132" s="21" t="n"/>
      <c r="E132" s="22" t="n"/>
      <c r="F132" s="21" t="n"/>
      <c r="G132" s="21" t="n"/>
      <c r="H132" s="21" t="n"/>
      <c r="I132" s="20" t="n"/>
      <c r="J132" s="21" t="n"/>
      <c r="K132" s="21" t="n"/>
    </row>
    <row r="133">
      <c r="A133" s="19">
        <f>IF($C133="","CHƯA NHẬP",IF($B133="","HỢP LỆ","LỖI"))</f>
        <v/>
      </c>
      <c r="B133" s="19">
        <f>IF($C133="","",TEXTJOIN(" | ",TRUE,IF($C133="","Thiếu mã nhân viên",""),IF(COUNTIF($C$6:$C$505,$C133)&gt;1,"Trùng mã nhân viên",""),IF($D133="","Thiếu họ tên",""),IF(AND($E133&lt;&gt;"",OR(NOT(ISNUMBER($E133)),$E133&lt;DATE(1940,1,1),$E133&gt;TODAY())),"Ngày sinh không hợp lệ",""),IF(AND($G133&lt;&gt;"",OR(ISERROR(SEARCH("@",$G133)),ISERROR(SEARCH(".",$G133)))),"Email cá nhân không hợp lệ",""),IF(AND($H133&lt;&gt;"",OR(ISERROR(SEARCH("@",$H133)),ISERROR(SEARCH(".",$H133)))),"Email công ty không hợp lệ",""),IF(AND($I133&lt;&gt;"",OR(LEN($I133)&lt;9,LEN($I133)&gt;15,NOT(ISNUMBER(--$I133)))),"Số điện thoại không hợp lệ","")))</f>
        <v/>
      </c>
      <c r="C133" s="20" t="n"/>
      <c r="D133" s="21" t="n"/>
      <c r="E133" s="22" t="n"/>
      <c r="F133" s="21" t="n"/>
      <c r="G133" s="21" t="n"/>
      <c r="H133" s="21" t="n"/>
      <c r="I133" s="20" t="n"/>
      <c r="J133" s="21" t="n"/>
      <c r="K133" s="21" t="n"/>
    </row>
    <row r="134">
      <c r="A134" s="19">
        <f>IF($C134="","CHƯA NHẬP",IF($B134="","HỢP LỆ","LỖI"))</f>
        <v/>
      </c>
      <c r="B134" s="19">
        <f>IF($C134="","",TEXTJOIN(" | ",TRUE,IF($C134="","Thiếu mã nhân viên",""),IF(COUNTIF($C$6:$C$505,$C134)&gt;1,"Trùng mã nhân viên",""),IF($D134="","Thiếu họ tên",""),IF(AND($E134&lt;&gt;"",OR(NOT(ISNUMBER($E134)),$E134&lt;DATE(1940,1,1),$E134&gt;TODAY())),"Ngày sinh không hợp lệ",""),IF(AND($G134&lt;&gt;"",OR(ISERROR(SEARCH("@",$G134)),ISERROR(SEARCH(".",$G134)))),"Email cá nhân không hợp lệ",""),IF(AND($H134&lt;&gt;"",OR(ISERROR(SEARCH("@",$H134)),ISERROR(SEARCH(".",$H134)))),"Email công ty không hợp lệ",""),IF(AND($I134&lt;&gt;"",OR(LEN($I134)&lt;9,LEN($I134)&gt;15,NOT(ISNUMBER(--$I134)))),"Số điện thoại không hợp lệ","")))</f>
        <v/>
      </c>
      <c r="C134" s="20" t="n"/>
      <c r="D134" s="21" t="n"/>
      <c r="E134" s="22" t="n"/>
      <c r="F134" s="21" t="n"/>
      <c r="G134" s="21" t="n"/>
      <c r="H134" s="21" t="n"/>
      <c r="I134" s="20" t="n"/>
      <c r="J134" s="21" t="n"/>
      <c r="K134" s="21" t="n"/>
    </row>
    <row r="135">
      <c r="A135" s="19">
        <f>IF($C135="","CHƯA NHẬP",IF($B135="","HỢP LỆ","LỖI"))</f>
        <v/>
      </c>
      <c r="B135" s="19">
        <f>IF($C135="","",TEXTJOIN(" | ",TRUE,IF($C135="","Thiếu mã nhân viên",""),IF(COUNTIF($C$6:$C$505,$C135)&gt;1,"Trùng mã nhân viên",""),IF($D135="","Thiếu họ tên",""),IF(AND($E135&lt;&gt;"",OR(NOT(ISNUMBER($E135)),$E135&lt;DATE(1940,1,1),$E135&gt;TODAY())),"Ngày sinh không hợp lệ",""),IF(AND($G135&lt;&gt;"",OR(ISERROR(SEARCH("@",$G135)),ISERROR(SEARCH(".",$G135)))),"Email cá nhân không hợp lệ",""),IF(AND($H135&lt;&gt;"",OR(ISERROR(SEARCH("@",$H135)),ISERROR(SEARCH(".",$H135)))),"Email công ty không hợp lệ",""),IF(AND($I135&lt;&gt;"",OR(LEN($I135)&lt;9,LEN($I135)&gt;15,NOT(ISNUMBER(--$I135)))),"Số điện thoại không hợp lệ","")))</f>
        <v/>
      </c>
      <c r="C135" s="20" t="n"/>
      <c r="D135" s="21" t="n"/>
      <c r="E135" s="22" t="n"/>
      <c r="F135" s="21" t="n"/>
      <c r="G135" s="21" t="n"/>
      <c r="H135" s="21" t="n"/>
      <c r="I135" s="20" t="n"/>
      <c r="J135" s="21" t="n"/>
      <c r="K135" s="21" t="n"/>
    </row>
    <row r="136">
      <c r="A136" s="19">
        <f>IF($C136="","CHƯA NHẬP",IF($B136="","HỢP LỆ","LỖI"))</f>
        <v/>
      </c>
      <c r="B136" s="19">
        <f>IF($C136="","",TEXTJOIN(" | ",TRUE,IF($C136="","Thiếu mã nhân viên",""),IF(COUNTIF($C$6:$C$505,$C136)&gt;1,"Trùng mã nhân viên",""),IF($D136="","Thiếu họ tên",""),IF(AND($E136&lt;&gt;"",OR(NOT(ISNUMBER($E136)),$E136&lt;DATE(1940,1,1),$E136&gt;TODAY())),"Ngày sinh không hợp lệ",""),IF(AND($G136&lt;&gt;"",OR(ISERROR(SEARCH("@",$G136)),ISERROR(SEARCH(".",$G136)))),"Email cá nhân không hợp lệ",""),IF(AND($H136&lt;&gt;"",OR(ISERROR(SEARCH("@",$H136)),ISERROR(SEARCH(".",$H136)))),"Email công ty không hợp lệ",""),IF(AND($I136&lt;&gt;"",OR(LEN($I136)&lt;9,LEN($I136)&gt;15,NOT(ISNUMBER(--$I136)))),"Số điện thoại không hợp lệ","")))</f>
        <v/>
      </c>
      <c r="C136" s="20" t="n"/>
      <c r="D136" s="21" t="n"/>
      <c r="E136" s="22" t="n"/>
      <c r="F136" s="21" t="n"/>
      <c r="G136" s="21" t="n"/>
      <c r="H136" s="21" t="n"/>
      <c r="I136" s="20" t="n"/>
      <c r="J136" s="21" t="n"/>
      <c r="K136" s="21" t="n"/>
    </row>
    <row r="137">
      <c r="A137" s="19">
        <f>IF($C137="","CHƯA NHẬP",IF($B137="","HỢP LỆ","LỖI"))</f>
        <v/>
      </c>
      <c r="B137" s="19">
        <f>IF($C137="","",TEXTJOIN(" | ",TRUE,IF($C137="","Thiếu mã nhân viên",""),IF(COUNTIF($C$6:$C$505,$C137)&gt;1,"Trùng mã nhân viên",""),IF($D137="","Thiếu họ tên",""),IF(AND($E137&lt;&gt;"",OR(NOT(ISNUMBER($E137)),$E137&lt;DATE(1940,1,1),$E137&gt;TODAY())),"Ngày sinh không hợp lệ",""),IF(AND($G137&lt;&gt;"",OR(ISERROR(SEARCH("@",$G137)),ISERROR(SEARCH(".",$G137)))),"Email cá nhân không hợp lệ",""),IF(AND($H137&lt;&gt;"",OR(ISERROR(SEARCH("@",$H137)),ISERROR(SEARCH(".",$H137)))),"Email công ty không hợp lệ",""),IF(AND($I137&lt;&gt;"",OR(LEN($I137)&lt;9,LEN($I137)&gt;15,NOT(ISNUMBER(--$I137)))),"Số điện thoại không hợp lệ","")))</f>
        <v/>
      </c>
      <c r="C137" s="20" t="n"/>
      <c r="D137" s="21" t="n"/>
      <c r="E137" s="22" t="n"/>
      <c r="F137" s="21" t="n"/>
      <c r="G137" s="21" t="n"/>
      <c r="H137" s="21" t="n"/>
      <c r="I137" s="20" t="n"/>
      <c r="J137" s="21" t="n"/>
      <c r="K137" s="21" t="n"/>
    </row>
    <row r="138">
      <c r="A138" s="19">
        <f>IF($C138="","CHƯA NHẬP",IF($B138="","HỢP LỆ","LỖI"))</f>
        <v/>
      </c>
      <c r="B138" s="19">
        <f>IF($C138="","",TEXTJOIN(" | ",TRUE,IF($C138="","Thiếu mã nhân viên",""),IF(COUNTIF($C$6:$C$505,$C138)&gt;1,"Trùng mã nhân viên",""),IF($D138="","Thiếu họ tên",""),IF(AND($E138&lt;&gt;"",OR(NOT(ISNUMBER($E138)),$E138&lt;DATE(1940,1,1),$E138&gt;TODAY())),"Ngày sinh không hợp lệ",""),IF(AND($G138&lt;&gt;"",OR(ISERROR(SEARCH("@",$G138)),ISERROR(SEARCH(".",$G138)))),"Email cá nhân không hợp lệ",""),IF(AND($H138&lt;&gt;"",OR(ISERROR(SEARCH("@",$H138)),ISERROR(SEARCH(".",$H138)))),"Email công ty không hợp lệ",""),IF(AND($I138&lt;&gt;"",OR(LEN($I138)&lt;9,LEN($I138)&gt;15,NOT(ISNUMBER(--$I138)))),"Số điện thoại không hợp lệ","")))</f>
        <v/>
      </c>
      <c r="C138" s="20" t="n"/>
      <c r="D138" s="21" t="n"/>
      <c r="E138" s="22" t="n"/>
      <c r="F138" s="21" t="n"/>
      <c r="G138" s="21" t="n"/>
      <c r="H138" s="21" t="n"/>
      <c r="I138" s="20" t="n"/>
      <c r="J138" s="21" t="n"/>
      <c r="K138" s="21" t="n"/>
    </row>
    <row r="139">
      <c r="A139" s="19">
        <f>IF($C139="","CHƯA NHẬP",IF($B139="","HỢP LỆ","LỖI"))</f>
        <v/>
      </c>
      <c r="B139" s="19">
        <f>IF($C139="","",TEXTJOIN(" | ",TRUE,IF($C139="","Thiếu mã nhân viên",""),IF(COUNTIF($C$6:$C$505,$C139)&gt;1,"Trùng mã nhân viên",""),IF($D139="","Thiếu họ tên",""),IF(AND($E139&lt;&gt;"",OR(NOT(ISNUMBER($E139)),$E139&lt;DATE(1940,1,1),$E139&gt;TODAY())),"Ngày sinh không hợp lệ",""),IF(AND($G139&lt;&gt;"",OR(ISERROR(SEARCH("@",$G139)),ISERROR(SEARCH(".",$G139)))),"Email cá nhân không hợp lệ",""),IF(AND($H139&lt;&gt;"",OR(ISERROR(SEARCH("@",$H139)),ISERROR(SEARCH(".",$H139)))),"Email công ty không hợp lệ",""),IF(AND($I139&lt;&gt;"",OR(LEN($I139)&lt;9,LEN($I139)&gt;15,NOT(ISNUMBER(--$I139)))),"Số điện thoại không hợp lệ","")))</f>
        <v/>
      </c>
      <c r="C139" s="20" t="n"/>
      <c r="D139" s="21" t="n"/>
      <c r="E139" s="22" t="n"/>
      <c r="F139" s="21" t="n"/>
      <c r="G139" s="21" t="n"/>
      <c r="H139" s="21" t="n"/>
      <c r="I139" s="20" t="n"/>
      <c r="J139" s="21" t="n"/>
      <c r="K139" s="21" t="n"/>
    </row>
    <row r="140">
      <c r="A140" s="19">
        <f>IF($C140="","CHƯA NHẬP",IF($B140="","HỢP LỆ","LỖI"))</f>
        <v/>
      </c>
      <c r="B140" s="19">
        <f>IF($C140="","",TEXTJOIN(" | ",TRUE,IF($C140="","Thiếu mã nhân viên",""),IF(COUNTIF($C$6:$C$505,$C140)&gt;1,"Trùng mã nhân viên",""),IF($D140="","Thiếu họ tên",""),IF(AND($E140&lt;&gt;"",OR(NOT(ISNUMBER($E140)),$E140&lt;DATE(1940,1,1),$E140&gt;TODAY())),"Ngày sinh không hợp lệ",""),IF(AND($G140&lt;&gt;"",OR(ISERROR(SEARCH("@",$G140)),ISERROR(SEARCH(".",$G140)))),"Email cá nhân không hợp lệ",""),IF(AND($H140&lt;&gt;"",OR(ISERROR(SEARCH("@",$H140)),ISERROR(SEARCH(".",$H140)))),"Email công ty không hợp lệ",""),IF(AND($I140&lt;&gt;"",OR(LEN($I140)&lt;9,LEN($I140)&gt;15,NOT(ISNUMBER(--$I140)))),"Số điện thoại không hợp lệ","")))</f>
        <v/>
      </c>
      <c r="C140" s="20" t="n"/>
      <c r="D140" s="21" t="n"/>
      <c r="E140" s="22" t="n"/>
      <c r="F140" s="21" t="n"/>
      <c r="G140" s="21" t="n"/>
      <c r="H140" s="21" t="n"/>
      <c r="I140" s="20" t="n"/>
      <c r="J140" s="21" t="n"/>
      <c r="K140" s="21" t="n"/>
    </row>
    <row r="141">
      <c r="A141" s="19">
        <f>IF($C141="","CHƯA NHẬP",IF($B141="","HỢP LỆ","LỖI"))</f>
        <v/>
      </c>
      <c r="B141" s="19">
        <f>IF($C141="","",TEXTJOIN(" | ",TRUE,IF($C141="","Thiếu mã nhân viên",""),IF(COUNTIF($C$6:$C$505,$C141)&gt;1,"Trùng mã nhân viên",""),IF($D141="","Thiếu họ tên",""),IF(AND($E141&lt;&gt;"",OR(NOT(ISNUMBER($E141)),$E141&lt;DATE(1940,1,1),$E141&gt;TODAY())),"Ngày sinh không hợp lệ",""),IF(AND($G141&lt;&gt;"",OR(ISERROR(SEARCH("@",$G141)),ISERROR(SEARCH(".",$G141)))),"Email cá nhân không hợp lệ",""),IF(AND($H141&lt;&gt;"",OR(ISERROR(SEARCH("@",$H141)),ISERROR(SEARCH(".",$H141)))),"Email công ty không hợp lệ",""),IF(AND($I141&lt;&gt;"",OR(LEN($I141)&lt;9,LEN($I141)&gt;15,NOT(ISNUMBER(--$I141)))),"Số điện thoại không hợp lệ","")))</f>
        <v/>
      </c>
      <c r="C141" s="20" t="n"/>
      <c r="D141" s="21" t="n"/>
      <c r="E141" s="22" t="n"/>
      <c r="F141" s="21" t="n"/>
      <c r="G141" s="21" t="n"/>
      <c r="H141" s="21" t="n"/>
      <c r="I141" s="20" t="n"/>
      <c r="J141" s="21" t="n"/>
      <c r="K141" s="21" t="n"/>
    </row>
    <row r="142">
      <c r="A142" s="19">
        <f>IF($C142="","CHƯA NHẬP",IF($B142="","HỢP LỆ","LỖI"))</f>
        <v/>
      </c>
      <c r="B142" s="19">
        <f>IF($C142="","",TEXTJOIN(" | ",TRUE,IF($C142="","Thiếu mã nhân viên",""),IF(COUNTIF($C$6:$C$505,$C142)&gt;1,"Trùng mã nhân viên",""),IF($D142="","Thiếu họ tên",""),IF(AND($E142&lt;&gt;"",OR(NOT(ISNUMBER($E142)),$E142&lt;DATE(1940,1,1),$E142&gt;TODAY())),"Ngày sinh không hợp lệ",""),IF(AND($G142&lt;&gt;"",OR(ISERROR(SEARCH("@",$G142)),ISERROR(SEARCH(".",$G142)))),"Email cá nhân không hợp lệ",""),IF(AND($H142&lt;&gt;"",OR(ISERROR(SEARCH("@",$H142)),ISERROR(SEARCH(".",$H142)))),"Email công ty không hợp lệ",""),IF(AND($I142&lt;&gt;"",OR(LEN($I142)&lt;9,LEN($I142)&gt;15,NOT(ISNUMBER(--$I142)))),"Số điện thoại không hợp lệ","")))</f>
        <v/>
      </c>
      <c r="C142" s="20" t="n"/>
      <c r="D142" s="21" t="n"/>
      <c r="E142" s="22" t="n"/>
      <c r="F142" s="21" t="n"/>
      <c r="G142" s="21" t="n"/>
      <c r="H142" s="21" t="n"/>
      <c r="I142" s="20" t="n"/>
      <c r="J142" s="21" t="n"/>
      <c r="K142" s="21" t="n"/>
    </row>
    <row r="143">
      <c r="A143" s="19">
        <f>IF($C143="","CHƯA NHẬP",IF($B143="","HỢP LỆ","LỖI"))</f>
        <v/>
      </c>
      <c r="B143" s="19">
        <f>IF($C143="","",TEXTJOIN(" | ",TRUE,IF($C143="","Thiếu mã nhân viên",""),IF(COUNTIF($C$6:$C$505,$C143)&gt;1,"Trùng mã nhân viên",""),IF($D143="","Thiếu họ tên",""),IF(AND($E143&lt;&gt;"",OR(NOT(ISNUMBER($E143)),$E143&lt;DATE(1940,1,1),$E143&gt;TODAY())),"Ngày sinh không hợp lệ",""),IF(AND($G143&lt;&gt;"",OR(ISERROR(SEARCH("@",$G143)),ISERROR(SEARCH(".",$G143)))),"Email cá nhân không hợp lệ",""),IF(AND($H143&lt;&gt;"",OR(ISERROR(SEARCH("@",$H143)),ISERROR(SEARCH(".",$H143)))),"Email công ty không hợp lệ",""),IF(AND($I143&lt;&gt;"",OR(LEN($I143)&lt;9,LEN($I143)&gt;15,NOT(ISNUMBER(--$I143)))),"Số điện thoại không hợp lệ","")))</f>
        <v/>
      </c>
      <c r="C143" s="20" t="n"/>
      <c r="D143" s="21" t="n"/>
      <c r="E143" s="22" t="n"/>
      <c r="F143" s="21" t="n"/>
      <c r="G143" s="21" t="n"/>
      <c r="H143" s="21" t="n"/>
      <c r="I143" s="20" t="n"/>
      <c r="J143" s="21" t="n"/>
      <c r="K143" s="21" t="n"/>
    </row>
    <row r="144">
      <c r="A144" s="19">
        <f>IF($C144="","CHƯA NHẬP",IF($B144="","HỢP LỆ","LỖI"))</f>
        <v/>
      </c>
      <c r="B144" s="19">
        <f>IF($C144="","",TEXTJOIN(" | ",TRUE,IF($C144="","Thiếu mã nhân viên",""),IF(COUNTIF($C$6:$C$505,$C144)&gt;1,"Trùng mã nhân viên",""),IF($D144="","Thiếu họ tên",""),IF(AND($E144&lt;&gt;"",OR(NOT(ISNUMBER($E144)),$E144&lt;DATE(1940,1,1),$E144&gt;TODAY())),"Ngày sinh không hợp lệ",""),IF(AND($G144&lt;&gt;"",OR(ISERROR(SEARCH("@",$G144)),ISERROR(SEARCH(".",$G144)))),"Email cá nhân không hợp lệ",""),IF(AND($H144&lt;&gt;"",OR(ISERROR(SEARCH("@",$H144)),ISERROR(SEARCH(".",$H144)))),"Email công ty không hợp lệ",""),IF(AND($I144&lt;&gt;"",OR(LEN($I144)&lt;9,LEN($I144)&gt;15,NOT(ISNUMBER(--$I144)))),"Số điện thoại không hợp lệ","")))</f>
        <v/>
      </c>
      <c r="C144" s="20" t="n"/>
      <c r="D144" s="21" t="n"/>
      <c r="E144" s="22" t="n"/>
      <c r="F144" s="21" t="n"/>
      <c r="G144" s="21" t="n"/>
      <c r="H144" s="21" t="n"/>
      <c r="I144" s="20" t="n"/>
      <c r="J144" s="21" t="n"/>
      <c r="K144" s="21" t="n"/>
    </row>
    <row r="145">
      <c r="A145" s="19">
        <f>IF($C145="","CHƯA NHẬP",IF($B145="","HỢP LỆ","LỖI"))</f>
        <v/>
      </c>
      <c r="B145" s="19">
        <f>IF($C145="","",TEXTJOIN(" | ",TRUE,IF($C145="","Thiếu mã nhân viên",""),IF(COUNTIF($C$6:$C$505,$C145)&gt;1,"Trùng mã nhân viên",""),IF($D145="","Thiếu họ tên",""),IF(AND($E145&lt;&gt;"",OR(NOT(ISNUMBER($E145)),$E145&lt;DATE(1940,1,1),$E145&gt;TODAY())),"Ngày sinh không hợp lệ",""),IF(AND($G145&lt;&gt;"",OR(ISERROR(SEARCH("@",$G145)),ISERROR(SEARCH(".",$G145)))),"Email cá nhân không hợp lệ",""),IF(AND($H145&lt;&gt;"",OR(ISERROR(SEARCH("@",$H145)),ISERROR(SEARCH(".",$H145)))),"Email công ty không hợp lệ",""),IF(AND($I145&lt;&gt;"",OR(LEN($I145)&lt;9,LEN($I145)&gt;15,NOT(ISNUMBER(--$I145)))),"Số điện thoại không hợp lệ","")))</f>
        <v/>
      </c>
      <c r="C145" s="20" t="n"/>
      <c r="D145" s="21" t="n"/>
      <c r="E145" s="22" t="n"/>
      <c r="F145" s="21" t="n"/>
      <c r="G145" s="21" t="n"/>
      <c r="H145" s="21" t="n"/>
      <c r="I145" s="20" t="n"/>
      <c r="J145" s="21" t="n"/>
      <c r="K145" s="21" t="n"/>
    </row>
    <row r="146">
      <c r="A146" s="19">
        <f>IF($C146="","CHƯA NHẬP",IF($B146="","HỢP LỆ","LỖI"))</f>
        <v/>
      </c>
      <c r="B146" s="19">
        <f>IF($C146="","",TEXTJOIN(" | ",TRUE,IF($C146="","Thiếu mã nhân viên",""),IF(COUNTIF($C$6:$C$505,$C146)&gt;1,"Trùng mã nhân viên",""),IF($D146="","Thiếu họ tên",""),IF(AND($E146&lt;&gt;"",OR(NOT(ISNUMBER($E146)),$E146&lt;DATE(1940,1,1),$E146&gt;TODAY())),"Ngày sinh không hợp lệ",""),IF(AND($G146&lt;&gt;"",OR(ISERROR(SEARCH("@",$G146)),ISERROR(SEARCH(".",$G146)))),"Email cá nhân không hợp lệ",""),IF(AND($H146&lt;&gt;"",OR(ISERROR(SEARCH("@",$H146)),ISERROR(SEARCH(".",$H146)))),"Email công ty không hợp lệ",""),IF(AND($I146&lt;&gt;"",OR(LEN($I146)&lt;9,LEN($I146)&gt;15,NOT(ISNUMBER(--$I146)))),"Số điện thoại không hợp lệ","")))</f>
        <v/>
      </c>
      <c r="C146" s="20" t="n"/>
      <c r="D146" s="21" t="n"/>
      <c r="E146" s="22" t="n"/>
      <c r="F146" s="21" t="n"/>
      <c r="G146" s="21" t="n"/>
      <c r="H146" s="21" t="n"/>
      <c r="I146" s="20" t="n"/>
      <c r="J146" s="21" t="n"/>
      <c r="K146" s="21" t="n"/>
    </row>
    <row r="147">
      <c r="A147" s="19">
        <f>IF($C147="","CHƯA NHẬP",IF($B147="","HỢP LỆ","LỖI"))</f>
        <v/>
      </c>
      <c r="B147" s="19">
        <f>IF($C147="","",TEXTJOIN(" | ",TRUE,IF($C147="","Thiếu mã nhân viên",""),IF(COUNTIF($C$6:$C$505,$C147)&gt;1,"Trùng mã nhân viên",""),IF($D147="","Thiếu họ tên",""),IF(AND($E147&lt;&gt;"",OR(NOT(ISNUMBER($E147)),$E147&lt;DATE(1940,1,1),$E147&gt;TODAY())),"Ngày sinh không hợp lệ",""),IF(AND($G147&lt;&gt;"",OR(ISERROR(SEARCH("@",$G147)),ISERROR(SEARCH(".",$G147)))),"Email cá nhân không hợp lệ",""),IF(AND($H147&lt;&gt;"",OR(ISERROR(SEARCH("@",$H147)),ISERROR(SEARCH(".",$H147)))),"Email công ty không hợp lệ",""),IF(AND($I147&lt;&gt;"",OR(LEN($I147)&lt;9,LEN($I147)&gt;15,NOT(ISNUMBER(--$I147)))),"Số điện thoại không hợp lệ","")))</f>
        <v/>
      </c>
      <c r="C147" s="20" t="n"/>
      <c r="D147" s="21" t="n"/>
      <c r="E147" s="22" t="n"/>
      <c r="F147" s="21" t="n"/>
      <c r="G147" s="21" t="n"/>
      <c r="H147" s="21" t="n"/>
      <c r="I147" s="20" t="n"/>
      <c r="J147" s="21" t="n"/>
      <c r="K147" s="21" t="n"/>
    </row>
    <row r="148">
      <c r="A148" s="19">
        <f>IF($C148="","CHƯA NHẬP",IF($B148="","HỢP LỆ","LỖI"))</f>
        <v/>
      </c>
      <c r="B148" s="19">
        <f>IF($C148="","",TEXTJOIN(" | ",TRUE,IF($C148="","Thiếu mã nhân viên",""),IF(COUNTIF($C$6:$C$505,$C148)&gt;1,"Trùng mã nhân viên",""),IF($D148="","Thiếu họ tên",""),IF(AND($E148&lt;&gt;"",OR(NOT(ISNUMBER($E148)),$E148&lt;DATE(1940,1,1),$E148&gt;TODAY())),"Ngày sinh không hợp lệ",""),IF(AND($G148&lt;&gt;"",OR(ISERROR(SEARCH("@",$G148)),ISERROR(SEARCH(".",$G148)))),"Email cá nhân không hợp lệ",""),IF(AND($H148&lt;&gt;"",OR(ISERROR(SEARCH("@",$H148)),ISERROR(SEARCH(".",$H148)))),"Email công ty không hợp lệ",""),IF(AND($I148&lt;&gt;"",OR(LEN($I148)&lt;9,LEN($I148)&gt;15,NOT(ISNUMBER(--$I148)))),"Số điện thoại không hợp lệ","")))</f>
        <v/>
      </c>
      <c r="C148" s="20" t="n"/>
      <c r="D148" s="21" t="n"/>
      <c r="E148" s="22" t="n"/>
      <c r="F148" s="21" t="n"/>
      <c r="G148" s="21" t="n"/>
      <c r="H148" s="21" t="n"/>
      <c r="I148" s="20" t="n"/>
      <c r="J148" s="21" t="n"/>
      <c r="K148" s="21" t="n"/>
    </row>
    <row r="149">
      <c r="A149" s="19">
        <f>IF($C149="","CHƯA NHẬP",IF($B149="","HỢP LỆ","LỖI"))</f>
        <v/>
      </c>
      <c r="B149" s="19">
        <f>IF($C149="","",TEXTJOIN(" | ",TRUE,IF($C149="","Thiếu mã nhân viên",""),IF(COUNTIF($C$6:$C$505,$C149)&gt;1,"Trùng mã nhân viên",""),IF($D149="","Thiếu họ tên",""),IF(AND($E149&lt;&gt;"",OR(NOT(ISNUMBER($E149)),$E149&lt;DATE(1940,1,1),$E149&gt;TODAY())),"Ngày sinh không hợp lệ",""),IF(AND($G149&lt;&gt;"",OR(ISERROR(SEARCH("@",$G149)),ISERROR(SEARCH(".",$G149)))),"Email cá nhân không hợp lệ",""),IF(AND($H149&lt;&gt;"",OR(ISERROR(SEARCH("@",$H149)),ISERROR(SEARCH(".",$H149)))),"Email công ty không hợp lệ",""),IF(AND($I149&lt;&gt;"",OR(LEN($I149)&lt;9,LEN($I149)&gt;15,NOT(ISNUMBER(--$I149)))),"Số điện thoại không hợp lệ","")))</f>
        <v/>
      </c>
      <c r="C149" s="20" t="n"/>
      <c r="D149" s="21" t="n"/>
      <c r="E149" s="22" t="n"/>
      <c r="F149" s="21" t="n"/>
      <c r="G149" s="21" t="n"/>
      <c r="H149" s="21" t="n"/>
      <c r="I149" s="20" t="n"/>
      <c r="J149" s="21" t="n"/>
      <c r="K149" s="21" t="n"/>
    </row>
    <row r="150">
      <c r="A150" s="19">
        <f>IF($C150="","CHƯA NHẬP",IF($B150="","HỢP LỆ","LỖI"))</f>
        <v/>
      </c>
      <c r="B150" s="19">
        <f>IF($C150="","",TEXTJOIN(" | ",TRUE,IF($C150="","Thiếu mã nhân viên",""),IF(COUNTIF($C$6:$C$505,$C150)&gt;1,"Trùng mã nhân viên",""),IF($D150="","Thiếu họ tên",""),IF(AND($E150&lt;&gt;"",OR(NOT(ISNUMBER($E150)),$E150&lt;DATE(1940,1,1),$E150&gt;TODAY())),"Ngày sinh không hợp lệ",""),IF(AND($G150&lt;&gt;"",OR(ISERROR(SEARCH("@",$G150)),ISERROR(SEARCH(".",$G150)))),"Email cá nhân không hợp lệ",""),IF(AND($H150&lt;&gt;"",OR(ISERROR(SEARCH("@",$H150)),ISERROR(SEARCH(".",$H150)))),"Email công ty không hợp lệ",""),IF(AND($I150&lt;&gt;"",OR(LEN($I150)&lt;9,LEN($I150)&gt;15,NOT(ISNUMBER(--$I150)))),"Số điện thoại không hợp lệ","")))</f>
        <v/>
      </c>
      <c r="C150" s="20" t="n"/>
      <c r="D150" s="21" t="n"/>
      <c r="E150" s="22" t="n"/>
      <c r="F150" s="21" t="n"/>
      <c r="G150" s="21" t="n"/>
      <c r="H150" s="21" t="n"/>
      <c r="I150" s="20" t="n"/>
      <c r="J150" s="21" t="n"/>
      <c r="K150" s="21" t="n"/>
    </row>
    <row r="151">
      <c r="A151" s="19">
        <f>IF($C151="","CHƯA NHẬP",IF($B151="","HỢP LỆ","LỖI"))</f>
        <v/>
      </c>
      <c r="B151" s="19">
        <f>IF($C151="","",TEXTJOIN(" | ",TRUE,IF($C151="","Thiếu mã nhân viên",""),IF(COUNTIF($C$6:$C$505,$C151)&gt;1,"Trùng mã nhân viên",""),IF($D151="","Thiếu họ tên",""),IF(AND($E151&lt;&gt;"",OR(NOT(ISNUMBER($E151)),$E151&lt;DATE(1940,1,1),$E151&gt;TODAY())),"Ngày sinh không hợp lệ",""),IF(AND($G151&lt;&gt;"",OR(ISERROR(SEARCH("@",$G151)),ISERROR(SEARCH(".",$G151)))),"Email cá nhân không hợp lệ",""),IF(AND($H151&lt;&gt;"",OR(ISERROR(SEARCH("@",$H151)),ISERROR(SEARCH(".",$H151)))),"Email công ty không hợp lệ",""),IF(AND($I151&lt;&gt;"",OR(LEN($I151)&lt;9,LEN($I151)&gt;15,NOT(ISNUMBER(--$I151)))),"Số điện thoại không hợp lệ","")))</f>
        <v/>
      </c>
      <c r="C151" s="20" t="n"/>
      <c r="D151" s="21" t="n"/>
      <c r="E151" s="22" t="n"/>
      <c r="F151" s="21" t="n"/>
      <c r="G151" s="21" t="n"/>
      <c r="H151" s="21" t="n"/>
      <c r="I151" s="20" t="n"/>
      <c r="J151" s="21" t="n"/>
      <c r="K151" s="21" t="n"/>
    </row>
    <row r="152">
      <c r="A152" s="19">
        <f>IF($C152="","CHƯA NHẬP",IF($B152="","HỢP LỆ","LỖI"))</f>
        <v/>
      </c>
      <c r="B152" s="19">
        <f>IF($C152="","",TEXTJOIN(" | ",TRUE,IF($C152="","Thiếu mã nhân viên",""),IF(COUNTIF($C$6:$C$505,$C152)&gt;1,"Trùng mã nhân viên",""),IF($D152="","Thiếu họ tên",""),IF(AND($E152&lt;&gt;"",OR(NOT(ISNUMBER($E152)),$E152&lt;DATE(1940,1,1),$E152&gt;TODAY())),"Ngày sinh không hợp lệ",""),IF(AND($G152&lt;&gt;"",OR(ISERROR(SEARCH("@",$G152)),ISERROR(SEARCH(".",$G152)))),"Email cá nhân không hợp lệ",""),IF(AND($H152&lt;&gt;"",OR(ISERROR(SEARCH("@",$H152)),ISERROR(SEARCH(".",$H152)))),"Email công ty không hợp lệ",""),IF(AND($I152&lt;&gt;"",OR(LEN($I152)&lt;9,LEN($I152)&gt;15,NOT(ISNUMBER(--$I152)))),"Số điện thoại không hợp lệ","")))</f>
        <v/>
      </c>
      <c r="C152" s="20" t="n"/>
      <c r="D152" s="21" t="n"/>
      <c r="E152" s="22" t="n"/>
      <c r="F152" s="21" t="n"/>
      <c r="G152" s="21" t="n"/>
      <c r="H152" s="21" t="n"/>
      <c r="I152" s="20" t="n"/>
      <c r="J152" s="21" t="n"/>
      <c r="K152" s="21" t="n"/>
    </row>
    <row r="153">
      <c r="A153" s="19">
        <f>IF($C153="","CHƯA NHẬP",IF($B153="","HỢP LỆ","LỖI"))</f>
        <v/>
      </c>
      <c r="B153" s="19">
        <f>IF($C153="","",TEXTJOIN(" | ",TRUE,IF($C153="","Thiếu mã nhân viên",""),IF(COUNTIF($C$6:$C$505,$C153)&gt;1,"Trùng mã nhân viên",""),IF($D153="","Thiếu họ tên",""),IF(AND($E153&lt;&gt;"",OR(NOT(ISNUMBER($E153)),$E153&lt;DATE(1940,1,1),$E153&gt;TODAY())),"Ngày sinh không hợp lệ",""),IF(AND($G153&lt;&gt;"",OR(ISERROR(SEARCH("@",$G153)),ISERROR(SEARCH(".",$G153)))),"Email cá nhân không hợp lệ",""),IF(AND($H153&lt;&gt;"",OR(ISERROR(SEARCH("@",$H153)),ISERROR(SEARCH(".",$H153)))),"Email công ty không hợp lệ",""),IF(AND($I153&lt;&gt;"",OR(LEN($I153)&lt;9,LEN($I153)&gt;15,NOT(ISNUMBER(--$I153)))),"Số điện thoại không hợp lệ","")))</f>
        <v/>
      </c>
      <c r="C153" s="20" t="n"/>
      <c r="D153" s="21" t="n"/>
      <c r="E153" s="22" t="n"/>
      <c r="F153" s="21" t="n"/>
      <c r="G153" s="21" t="n"/>
      <c r="H153" s="21" t="n"/>
      <c r="I153" s="20" t="n"/>
      <c r="J153" s="21" t="n"/>
      <c r="K153" s="21" t="n"/>
    </row>
    <row r="154">
      <c r="A154" s="19">
        <f>IF($C154="","CHƯA NHẬP",IF($B154="","HỢP LỆ","LỖI"))</f>
        <v/>
      </c>
      <c r="B154" s="19">
        <f>IF($C154="","",TEXTJOIN(" | ",TRUE,IF($C154="","Thiếu mã nhân viên",""),IF(COUNTIF($C$6:$C$505,$C154)&gt;1,"Trùng mã nhân viên",""),IF($D154="","Thiếu họ tên",""),IF(AND($E154&lt;&gt;"",OR(NOT(ISNUMBER($E154)),$E154&lt;DATE(1940,1,1),$E154&gt;TODAY())),"Ngày sinh không hợp lệ",""),IF(AND($G154&lt;&gt;"",OR(ISERROR(SEARCH("@",$G154)),ISERROR(SEARCH(".",$G154)))),"Email cá nhân không hợp lệ",""),IF(AND($H154&lt;&gt;"",OR(ISERROR(SEARCH("@",$H154)),ISERROR(SEARCH(".",$H154)))),"Email công ty không hợp lệ",""),IF(AND($I154&lt;&gt;"",OR(LEN($I154)&lt;9,LEN($I154)&gt;15,NOT(ISNUMBER(--$I154)))),"Số điện thoại không hợp lệ","")))</f>
        <v/>
      </c>
      <c r="C154" s="20" t="n"/>
      <c r="D154" s="21" t="n"/>
      <c r="E154" s="22" t="n"/>
      <c r="F154" s="21" t="n"/>
      <c r="G154" s="21" t="n"/>
      <c r="H154" s="21" t="n"/>
      <c r="I154" s="20" t="n"/>
      <c r="J154" s="21" t="n"/>
      <c r="K154" s="21" t="n"/>
    </row>
    <row r="155">
      <c r="A155" s="19">
        <f>IF($C155="","CHƯA NHẬP",IF($B155="","HỢP LỆ","LỖI"))</f>
        <v/>
      </c>
      <c r="B155" s="19">
        <f>IF($C155="","",TEXTJOIN(" | ",TRUE,IF($C155="","Thiếu mã nhân viên",""),IF(COUNTIF($C$6:$C$505,$C155)&gt;1,"Trùng mã nhân viên",""),IF($D155="","Thiếu họ tên",""),IF(AND($E155&lt;&gt;"",OR(NOT(ISNUMBER($E155)),$E155&lt;DATE(1940,1,1),$E155&gt;TODAY())),"Ngày sinh không hợp lệ",""),IF(AND($G155&lt;&gt;"",OR(ISERROR(SEARCH("@",$G155)),ISERROR(SEARCH(".",$G155)))),"Email cá nhân không hợp lệ",""),IF(AND($H155&lt;&gt;"",OR(ISERROR(SEARCH("@",$H155)),ISERROR(SEARCH(".",$H155)))),"Email công ty không hợp lệ",""),IF(AND($I155&lt;&gt;"",OR(LEN($I155)&lt;9,LEN($I155)&gt;15,NOT(ISNUMBER(--$I155)))),"Số điện thoại không hợp lệ","")))</f>
        <v/>
      </c>
      <c r="C155" s="20" t="n"/>
      <c r="D155" s="21" t="n"/>
      <c r="E155" s="22" t="n"/>
      <c r="F155" s="21" t="n"/>
      <c r="G155" s="21" t="n"/>
      <c r="H155" s="21" t="n"/>
      <c r="I155" s="20" t="n"/>
      <c r="J155" s="21" t="n"/>
      <c r="K155" s="21" t="n"/>
    </row>
    <row r="156">
      <c r="A156" s="19">
        <f>IF($C156="","CHƯA NHẬP",IF($B156="","HỢP LỆ","LỖI"))</f>
        <v/>
      </c>
      <c r="B156" s="19">
        <f>IF($C156="","",TEXTJOIN(" | ",TRUE,IF($C156="","Thiếu mã nhân viên",""),IF(COUNTIF($C$6:$C$505,$C156)&gt;1,"Trùng mã nhân viên",""),IF($D156="","Thiếu họ tên",""),IF(AND($E156&lt;&gt;"",OR(NOT(ISNUMBER($E156)),$E156&lt;DATE(1940,1,1),$E156&gt;TODAY())),"Ngày sinh không hợp lệ",""),IF(AND($G156&lt;&gt;"",OR(ISERROR(SEARCH("@",$G156)),ISERROR(SEARCH(".",$G156)))),"Email cá nhân không hợp lệ",""),IF(AND($H156&lt;&gt;"",OR(ISERROR(SEARCH("@",$H156)),ISERROR(SEARCH(".",$H156)))),"Email công ty không hợp lệ",""),IF(AND($I156&lt;&gt;"",OR(LEN($I156)&lt;9,LEN($I156)&gt;15,NOT(ISNUMBER(--$I156)))),"Số điện thoại không hợp lệ","")))</f>
        <v/>
      </c>
      <c r="C156" s="20" t="n"/>
      <c r="D156" s="21" t="n"/>
      <c r="E156" s="22" t="n"/>
      <c r="F156" s="21" t="n"/>
      <c r="G156" s="21" t="n"/>
      <c r="H156" s="21" t="n"/>
      <c r="I156" s="20" t="n"/>
      <c r="J156" s="21" t="n"/>
      <c r="K156" s="21" t="n"/>
    </row>
    <row r="157">
      <c r="A157" s="19">
        <f>IF($C157="","CHƯA NHẬP",IF($B157="","HỢP LỆ","LỖI"))</f>
        <v/>
      </c>
      <c r="B157" s="19">
        <f>IF($C157="","",TEXTJOIN(" | ",TRUE,IF($C157="","Thiếu mã nhân viên",""),IF(COUNTIF($C$6:$C$505,$C157)&gt;1,"Trùng mã nhân viên",""),IF($D157="","Thiếu họ tên",""),IF(AND($E157&lt;&gt;"",OR(NOT(ISNUMBER($E157)),$E157&lt;DATE(1940,1,1),$E157&gt;TODAY())),"Ngày sinh không hợp lệ",""),IF(AND($G157&lt;&gt;"",OR(ISERROR(SEARCH("@",$G157)),ISERROR(SEARCH(".",$G157)))),"Email cá nhân không hợp lệ",""),IF(AND($H157&lt;&gt;"",OR(ISERROR(SEARCH("@",$H157)),ISERROR(SEARCH(".",$H157)))),"Email công ty không hợp lệ",""),IF(AND($I157&lt;&gt;"",OR(LEN($I157)&lt;9,LEN($I157)&gt;15,NOT(ISNUMBER(--$I157)))),"Số điện thoại không hợp lệ","")))</f>
        <v/>
      </c>
      <c r="C157" s="20" t="n"/>
      <c r="D157" s="21" t="n"/>
      <c r="E157" s="22" t="n"/>
      <c r="F157" s="21" t="n"/>
      <c r="G157" s="21" t="n"/>
      <c r="H157" s="21" t="n"/>
      <c r="I157" s="20" t="n"/>
      <c r="J157" s="21" t="n"/>
      <c r="K157" s="21" t="n"/>
    </row>
    <row r="158">
      <c r="A158" s="19">
        <f>IF($C158="","CHƯA NHẬP",IF($B158="","HỢP LỆ","LỖI"))</f>
        <v/>
      </c>
      <c r="B158" s="19">
        <f>IF($C158="","",TEXTJOIN(" | ",TRUE,IF($C158="","Thiếu mã nhân viên",""),IF(COUNTIF($C$6:$C$505,$C158)&gt;1,"Trùng mã nhân viên",""),IF($D158="","Thiếu họ tên",""),IF(AND($E158&lt;&gt;"",OR(NOT(ISNUMBER($E158)),$E158&lt;DATE(1940,1,1),$E158&gt;TODAY())),"Ngày sinh không hợp lệ",""),IF(AND($G158&lt;&gt;"",OR(ISERROR(SEARCH("@",$G158)),ISERROR(SEARCH(".",$G158)))),"Email cá nhân không hợp lệ",""),IF(AND($H158&lt;&gt;"",OR(ISERROR(SEARCH("@",$H158)),ISERROR(SEARCH(".",$H158)))),"Email công ty không hợp lệ",""),IF(AND($I158&lt;&gt;"",OR(LEN($I158)&lt;9,LEN($I158)&gt;15,NOT(ISNUMBER(--$I158)))),"Số điện thoại không hợp lệ","")))</f>
        <v/>
      </c>
      <c r="C158" s="20" t="n"/>
      <c r="D158" s="21" t="n"/>
      <c r="E158" s="22" t="n"/>
      <c r="F158" s="21" t="n"/>
      <c r="G158" s="21" t="n"/>
      <c r="H158" s="21" t="n"/>
      <c r="I158" s="20" t="n"/>
      <c r="J158" s="21" t="n"/>
      <c r="K158" s="21" t="n"/>
    </row>
    <row r="159">
      <c r="A159" s="19">
        <f>IF($C159="","CHƯA NHẬP",IF($B159="","HỢP LỆ","LỖI"))</f>
        <v/>
      </c>
      <c r="B159" s="19">
        <f>IF($C159="","",TEXTJOIN(" | ",TRUE,IF($C159="","Thiếu mã nhân viên",""),IF(COUNTIF($C$6:$C$505,$C159)&gt;1,"Trùng mã nhân viên",""),IF($D159="","Thiếu họ tên",""),IF(AND($E159&lt;&gt;"",OR(NOT(ISNUMBER($E159)),$E159&lt;DATE(1940,1,1),$E159&gt;TODAY())),"Ngày sinh không hợp lệ",""),IF(AND($G159&lt;&gt;"",OR(ISERROR(SEARCH("@",$G159)),ISERROR(SEARCH(".",$G159)))),"Email cá nhân không hợp lệ",""),IF(AND($H159&lt;&gt;"",OR(ISERROR(SEARCH("@",$H159)),ISERROR(SEARCH(".",$H159)))),"Email công ty không hợp lệ",""),IF(AND($I159&lt;&gt;"",OR(LEN($I159)&lt;9,LEN($I159)&gt;15,NOT(ISNUMBER(--$I159)))),"Số điện thoại không hợp lệ","")))</f>
        <v/>
      </c>
      <c r="C159" s="20" t="n"/>
      <c r="D159" s="21" t="n"/>
      <c r="E159" s="22" t="n"/>
      <c r="F159" s="21" t="n"/>
      <c r="G159" s="21" t="n"/>
      <c r="H159" s="21" t="n"/>
      <c r="I159" s="20" t="n"/>
      <c r="J159" s="21" t="n"/>
      <c r="K159" s="21" t="n"/>
    </row>
    <row r="160">
      <c r="A160" s="19">
        <f>IF($C160="","CHƯA NHẬP",IF($B160="","HỢP LỆ","LỖI"))</f>
        <v/>
      </c>
      <c r="B160" s="19">
        <f>IF($C160="","",TEXTJOIN(" | ",TRUE,IF($C160="","Thiếu mã nhân viên",""),IF(COUNTIF($C$6:$C$505,$C160)&gt;1,"Trùng mã nhân viên",""),IF($D160="","Thiếu họ tên",""),IF(AND($E160&lt;&gt;"",OR(NOT(ISNUMBER($E160)),$E160&lt;DATE(1940,1,1),$E160&gt;TODAY())),"Ngày sinh không hợp lệ",""),IF(AND($G160&lt;&gt;"",OR(ISERROR(SEARCH("@",$G160)),ISERROR(SEARCH(".",$G160)))),"Email cá nhân không hợp lệ",""),IF(AND($H160&lt;&gt;"",OR(ISERROR(SEARCH("@",$H160)),ISERROR(SEARCH(".",$H160)))),"Email công ty không hợp lệ",""),IF(AND($I160&lt;&gt;"",OR(LEN($I160)&lt;9,LEN($I160)&gt;15,NOT(ISNUMBER(--$I160)))),"Số điện thoại không hợp lệ","")))</f>
        <v/>
      </c>
      <c r="C160" s="20" t="n"/>
      <c r="D160" s="21" t="n"/>
      <c r="E160" s="22" t="n"/>
      <c r="F160" s="21" t="n"/>
      <c r="G160" s="21" t="n"/>
      <c r="H160" s="21" t="n"/>
      <c r="I160" s="20" t="n"/>
      <c r="J160" s="21" t="n"/>
      <c r="K160" s="21" t="n"/>
    </row>
    <row r="161">
      <c r="A161" s="19">
        <f>IF($C161="","CHƯA NHẬP",IF($B161="","HỢP LỆ","LỖI"))</f>
        <v/>
      </c>
      <c r="B161" s="19">
        <f>IF($C161="","",TEXTJOIN(" | ",TRUE,IF($C161="","Thiếu mã nhân viên",""),IF(COUNTIF($C$6:$C$505,$C161)&gt;1,"Trùng mã nhân viên",""),IF($D161="","Thiếu họ tên",""),IF(AND($E161&lt;&gt;"",OR(NOT(ISNUMBER($E161)),$E161&lt;DATE(1940,1,1),$E161&gt;TODAY())),"Ngày sinh không hợp lệ",""),IF(AND($G161&lt;&gt;"",OR(ISERROR(SEARCH("@",$G161)),ISERROR(SEARCH(".",$G161)))),"Email cá nhân không hợp lệ",""),IF(AND($H161&lt;&gt;"",OR(ISERROR(SEARCH("@",$H161)),ISERROR(SEARCH(".",$H161)))),"Email công ty không hợp lệ",""),IF(AND($I161&lt;&gt;"",OR(LEN($I161)&lt;9,LEN($I161)&gt;15,NOT(ISNUMBER(--$I161)))),"Số điện thoại không hợp lệ","")))</f>
        <v/>
      </c>
      <c r="C161" s="20" t="n"/>
      <c r="D161" s="21" t="n"/>
      <c r="E161" s="22" t="n"/>
      <c r="F161" s="21" t="n"/>
      <c r="G161" s="21" t="n"/>
      <c r="H161" s="21" t="n"/>
      <c r="I161" s="20" t="n"/>
      <c r="J161" s="21" t="n"/>
      <c r="K161" s="21" t="n"/>
    </row>
    <row r="162">
      <c r="A162" s="19">
        <f>IF($C162="","CHƯA NHẬP",IF($B162="","HỢP LỆ","LỖI"))</f>
        <v/>
      </c>
      <c r="B162" s="19">
        <f>IF($C162="","",TEXTJOIN(" | ",TRUE,IF($C162="","Thiếu mã nhân viên",""),IF(COUNTIF($C$6:$C$505,$C162)&gt;1,"Trùng mã nhân viên",""),IF($D162="","Thiếu họ tên",""),IF(AND($E162&lt;&gt;"",OR(NOT(ISNUMBER($E162)),$E162&lt;DATE(1940,1,1),$E162&gt;TODAY())),"Ngày sinh không hợp lệ",""),IF(AND($G162&lt;&gt;"",OR(ISERROR(SEARCH("@",$G162)),ISERROR(SEARCH(".",$G162)))),"Email cá nhân không hợp lệ",""),IF(AND($H162&lt;&gt;"",OR(ISERROR(SEARCH("@",$H162)),ISERROR(SEARCH(".",$H162)))),"Email công ty không hợp lệ",""),IF(AND($I162&lt;&gt;"",OR(LEN($I162)&lt;9,LEN($I162)&gt;15,NOT(ISNUMBER(--$I162)))),"Số điện thoại không hợp lệ","")))</f>
        <v/>
      </c>
      <c r="C162" s="20" t="n"/>
      <c r="D162" s="21" t="n"/>
      <c r="E162" s="22" t="n"/>
      <c r="F162" s="21" t="n"/>
      <c r="G162" s="21" t="n"/>
      <c r="H162" s="21" t="n"/>
      <c r="I162" s="20" t="n"/>
      <c r="J162" s="21" t="n"/>
      <c r="K162" s="21" t="n"/>
    </row>
    <row r="163">
      <c r="A163" s="19">
        <f>IF($C163="","CHƯA NHẬP",IF($B163="","HỢP LỆ","LỖI"))</f>
        <v/>
      </c>
      <c r="B163" s="19">
        <f>IF($C163="","",TEXTJOIN(" | ",TRUE,IF($C163="","Thiếu mã nhân viên",""),IF(COUNTIF($C$6:$C$505,$C163)&gt;1,"Trùng mã nhân viên",""),IF($D163="","Thiếu họ tên",""),IF(AND($E163&lt;&gt;"",OR(NOT(ISNUMBER($E163)),$E163&lt;DATE(1940,1,1),$E163&gt;TODAY())),"Ngày sinh không hợp lệ",""),IF(AND($G163&lt;&gt;"",OR(ISERROR(SEARCH("@",$G163)),ISERROR(SEARCH(".",$G163)))),"Email cá nhân không hợp lệ",""),IF(AND($H163&lt;&gt;"",OR(ISERROR(SEARCH("@",$H163)),ISERROR(SEARCH(".",$H163)))),"Email công ty không hợp lệ",""),IF(AND($I163&lt;&gt;"",OR(LEN($I163)&lt;9,LEN($I163)&gt;15,NOT(ISNUMBER(--$I163)))),"Số điện thoại không hợp lệ","")))</f>
        <v/>
      </c>
      <c r="C163" s="20" t="n"/>
      <c r="D163" s="21" t="n"/>
      <c r="E163" s="22" t="n"/>
      <c r="F163" s="21" t="n"/>
      <c r="G163" s="21" t="n"/>
      <c r="H163" s="21" t="n"/>
      <c r="I163" s="20" t="n"/>
      <c r="J163" s="21" t="n"/>
      <c r="K163" s="21" t="n"/>
    </row>
    <row r="164">
      <c r="A164" s="19">
        <f>IF($C164="","CHƯA NHẬP",IF($B164="","HỢP LỆ","LỖI"))</f>
        <v/>
      </c>
      <c r="B164" s="19">
        <f>IF($C164="","",TEXTJOIN(" | ",TRUE,IF($C164="","Thiếu mã nhân viên",""),IF(COUNTIF($C$6:$C$505,$C164)&gt;1,"Trùng mã nhân viên",""),IF($D164="","Thiếu họ tên",""),IF(AND($E164&lt;&gt;"",OR(NOT(ISNUMBER($E164)),$E164&lt;DATE(1940,1,1),$E164&gt;TODAY())),"Ngày sinh không hợp lệ",""),IF(AND($G164&lt;&gt;"",OR(ISERROR(SEARCH("@",$G164)),ISERROR(SEARCH(".",$G164)))),"Email cá nhân không hợp lệ",""),IF(AND($H164&lt;&gt;"",OR(ISERROR(SEARCH("@",$H164)),ISERROR(SEARCH(".",$H164)))),"Email công ty không hợp lệ",""),IF(AND($I164&lt;&gt;"",OR(LEN($I164)&lt;9,LEN($I164)&gt;15,NOT(ISNUMBER(--$I164)))),"Số điện thoại không hợp lệ","")))</f>
        <v/>
      </c>
      <c r="C164" s="20" t="n"/>
      <c r="D164" s="21" t="n"/>
      <c r="E164" s="22" t="n"/>
      <c r="F164" s="21" t="n"/>
      <c r="G164" s="21" t="n"/>
      <c r="H164" s="21" t="n"/>
      <c r="I164" s="20" t="n"/>
      <c r="J164" s="21" t="n"/>
      <c r="K164" s="21" t="n"/>
    </row>
    <row r="165">
      <c r="A165" s="19">
        <f>IF($C165="","CHƯA NHẬP",IF($B165="","HỢP LỆ","LỖI"))</f>
        <v/>
      </c>
      <c r="B165" s="19">
        <f>IF($C165="","",TEXTJOIN(" | ",TRUE,IF($C165="","Thiếu mã nhân viên",""),IF(COUNTIF($C$6:$C$505,$C165)&gt;1,"Trùng mã nhân viên",""),IF($D165="","Thiếu họ tên",""),IF(AND($E165&lt;&gt;"",OR(NOT(ISNUMBER($E165)),$E165&lt;DATE(1940,1,1),$E165&gt;TODAY())),"Ngày sinh không hợp lệ",""),IF(AND($G165&lt;&gt;"",OR(ISERROR(SEARCH("@",$G165)),ISERROR(SEARCH(".",$G165)))),"Email cá nhân không hợp lệ",""),IF(AND($H165&lt;&gt;"",OR(ISERROR(SEARCH("@",$H165)),ISERROR(SEARCH(".",$H165)))),"Email công ty không hợp lệ",""),IF(AND($I165&lt;&gt;"",OR(LEN($I165)&lt;9,LEN($I165)&gt;15,NOT(ISNUMBER(--$I165)))),"Số điện thoại không hợp lệ","")))</f>
        <v/>
      </c>
      <c r="C165" s="20" t="n"/>
      <c r="D165" s="21" t="n"/>
      <c r="E165" s="22" t="n"/>
      <c r="F165" s="21" t="n"/>
      <c r="G165" s="21" t="n"/>
      <c r="H165" s="21" t="n"/>
      <c r="I165" s="20" t="n"/>
      <c r="J165" s="21" t="n"/>
      <c r="K165" s="21" t="n"/>
    </row>
    <row r="166">
      <c r="A166" s="19">
        <f>IF($C166="","CHƯA NHẬP",IF($B166="","HỢP LỆ","LỖI"))</f>
        <v/>
      </c>
      <c r="B166" s="19">
        <f>IF($C166="","",TEXTJOIN(" | ",TRUE,IF($C166="","Thiếu mã nhân viên",""),IF(COUNTIF($C$6:$C$505,$C166)&gt;1,"Trùng mã nhân viên",""),IF($D166="","Thiếu họ tên",""),IF(AND($E166&lt;&gt;"",OR(NOT(ISNUMBER($E166)),$E166&lt;DATE(1940,1,1),$E166&gt;TODAY())),"Ngày sinh không hợp lệ",""),IF(AND($G166&lt;&gt;"",OR(ISERROR(SEARCH("@",$G166)),ISERROR(SEARCH(".",$G166)))),"Email cá nhân không hợp lệ",""),IF(AND($H166&lt;&gt;"",OR(ISERROR(SEARCH("@",$H166)),ISERROR(SEARCH(".",$H166)))),"Email công ty không hợp lệ",""),IF(AND($I166&lt;&gt;"",OR(LEN($I166)&lt;9,LEN($I166)&gt;15,NOT(ISNUMBER(--$I166)))),"Số điện thoại không hợp lệ","")))</f>
        <v/>
      </c>
      <c r="C166" s="20" t="n"/>
      <c r="D166" s="21" t="n"/>
      <c r="E166" s="22" t="n"/>
      <c r="F166" s="21" t="n"/>
      <c r="G166" s="21" t="n"/>
      <c r="H166" s="21" t="n"/>
      <c r="I166" s="20" t="n"/>
      <c r="J166" s="21" t="n"/>
      <c r="K166" s="21" t="n"/>
    </row>
    <row r="167">
      <c r="A167" s="19">
        <f>IF($C167="","CHƯA NHẬP",IF($B167="","HỢP LỆ","LỖI"))</f>
        <v/>
      </c>
      <c r="B167" s="19">
        <f>IF($C167="","",TEXTJOIN(" | ",TRUE,IF($C167="","Thiếu mã nhân viên",""),IF(COUNTIF($C$6:$C$505,$C167)&gt;1,"Trùng mã nhân viên",""),IF($D167="","Thiếu họ tên",""),IF(AND($E167&lt;&gt;"",OR(NOT(ISNUMBER($E167)),$E167&lt;DATE(1940,1,1),$E167&gt;TODAY())),"Ngày sinh không hợp lệ",""),IF(AND($G167&lt;&gt;"",OR(ISERROR(SEARCH("@",$G167)),ISERROR(SEARCH(".",$G167)))),"Email cá nhân không hợp lệ",""),IF(AND($H167&lt;&gt;"",OR(ISERROR(SEARCH("@",$H167)),ISERROR(SEARCH(".",$H167)))),"Email công ty không hợp lệ",""),IF(AND($I167&lt;&gt;"",OR(LEN($I167)&lt;9,LEN($I167)&gt;15,NOT(ISNUMBER(--$I167)))),"Số điện thoại không hợp lệ","")))</f>
        <v/>
      </c>
      <c r="C167" s="20" t="n"/>
      <c r="D167" s="21" t="n"/>
      <c r="E167" s="22" t="n"/>
      <c r="F167" s="21" t="n"/>
      <c r="G167" s="21" t="n"/>
      <c r="H167" s="21" t="n"/>
      <c r="I167" s="20" t="n"/>
      <c r="J167" s="21" t="n"/>
      <c r="K167" s="21" t="n"/>
    </row>
    <row r="168">
      <c r="A168" s="19">
        <f>IF($C168="","CHƯA NHẬP",IF($B168="","HỢP LỆ","LỖI"))</f>
        <v/>
      </c>
      <c r="B168" s="19">
        <f>IF($C168="","",TEXTJOIN(" | ",TRUE,IF($C168="","Thiếu mã nhân viên",""),IF(COUNTIF($C$6:$C$505,$C168)&gt;1,"Trùng mã nhân viên",""),IF($D168="","Thiếu họ tên",""),IF(AND($E168&lt;&gt;"",OR(NOT(ISNUMBER($E168)),$E168&lt;DATE(1940,1,1),$E168&gt;TODAY())),"Ngày sinh không hợp lệ",""),IF(AND($G168&lt;&gt;"",OR(ISERROR(SEARCH("@",$G168)),ISERROR(SEARCH(".",$G168)))),"Email cá nhân không hợp lệ",""),IF(AND($H168&lt;&gt;"",OR(ISERROR(SEARCH("@",$H168)),ISERROR(SEARCH(".",$H168)))),"Email công ty không hợp lệ",""),IF(AND($I168&lt;&gt;"",OR(LEN($I168)&lt;9,LEN($I168)&gt;15,NOT(ISNUMBER(--$I168)))),"Số điện thoại không hợp lệ","")))</f>
        <v/>
      </c>
      <c r="C168" s="20" t="n"/>
      <c r="D168" s="21" t="n"/>
      <c r="E168" s="22" t="n"/>
      <c r="F168" s="21" t="n"/>
      <c r="G168" s="21" t="n"/>
      <c r="H168" s="21" t="n"/>
      <c r="I168" s="20" t="n"/>
      <c r="J168" s="21" t="n"/>
      <c r="K168" s="21" t="n"/>
    </row>
    <row r="169">
      <c r="A169" s="19">
        <f>IF($C169="","CHƯA NHẬP",IF($B169="","HỢP LỆ","LỖI"))</f>
        <v/>
      </c>
      <c r="B169" s="19">
        <f>IF($C169="","",TEXTJOIN(" | ",TRUE,IF($C169="","Thiếu mã nhân viên",""),IF(COUNTIF($C$6:$C$505,$C169)&gt;1,"Trùng mã nhân viên",""),IF($D169="","Thiếu họ tên",""),IF(AND($E169&lt;&gt;"",OR(NOT(ISNUMBER($E169)),$E169&lt;DATE(1940,1,1),$E169&gt;TODAY())),"Ngày sinh không hợp lệ",""),IF(AND($G169&lt;&gt;"",OR(ISERROR(SEARCH("@",$G169)),ISERROR(SEARCH(".",$G169)))),"Email cá nhân không hợp lệ",""),IF(AND($H169&lt;&gt;"",OR(ISERROR(SEARCH("@",$H169)),ISERROR(SEARCH(".",$H169)))),"Email công ty không hợp lệ",""),IF(AND($I169&lt;&gt;"",OR(LEN($I169)&lt;9,LEN($I169)&gt;15,NOT(ISNUMBER(--$I169)))),"Số điện thoại không hợp lệ","")))</f>
        <v/>
      </c>
      <c r="C169" s="20" t="n"/>
      <c r="D169" s="21" t="n"/>
      <c r="E169" s="22" t="n"/>
      <c r="F169" s="21" t="n"/>
      <c r="G169" s="21" t="n"/>
      <c r="H169" s="21" t="n"/>
      <c r="I169" s="20" t="n"/>
      <c r="J169" s="21" t="n"/>
      <c r="K169" s="21" t="n"/>
    </row>
    <row r="170">
      <c r="A170" s="19">
        <f>IF($C170="","CHƯA NHẬP",IF($B170="","HỢP LỆ","LỖI"))</f>
        <v/>
      </c>
      <c r="B170" s="19">
        <f>IF($C170="","",TEXTJOIN(" | ",TRUE,IF($C170="","Thiếu mã nhân viên",""),IF(COUNTIF($C$6:$C$505,$C170)&gt;1,"Trùng mã nhân viên",""),IF($D170="","Thiếu họ tên",""),IF(AND($E170&lt;&gt;"",OR(NOT(ISNUMBER($E170)),$E170&lt;DATE(1940,1,1),$E170&gt;TODAY())),"Ngày sinh không hợp lệ",""),IF(AND($G170&lt;&gt;"",OR(ISERROR(SEARCH("@",$G170)),ISERROR(SEARCH(".",$G170)))),"Email cá nhân không hợp lệ",""),IF(AND($H170&lt;&gt;"",OR(ISERROR(SEARCH("@",$H170)),ISERROR(SEARCH(".",$H170)))),"Email công ty không hợp lệ",""),IF(AND($I170&lt;&gt;"",OR(LEN($I170)&lt;9,LEN($I170)&gt;15,NOT(ISNUMBER(--$I170)))),"Số điện thoại không hợp lệ","")))</f>
        <v/>
      </c>
      <c r="C170" s="20" t="n"/>
      <c r="D170" s="21" t="n"/>
      <c r="E170" s="22" t="n"/>
      <c r="F170" s="21" t="n"/>
      <c r="G170" s="21" t="n"/>
      <c r="H170" s="21" t="n"/>
      <c r="I170" s="20" t="n"/>
      <c r="J170" s="21" t="n"/>
      <c r="K170" s="21" t="n"/>
    </row>
    <row r="171">
      <c r="A171" s="19">
        <f>IF($C171="","CHƯA NHẬP",IF($B171="","HỢP LỆ","LỖI"))</f>
        <v/>
      </c>
      <c r="B171" s="19">
        <f>IF($C171="","",TEXTJOIN(" | ",TRUE,IF($C171="","Thiếu mã nhân viên",""),IF(COUNTIF($C$6:$C$505,$C171)&gt;1,"Trùng mã nhân viên",""),IF($D171="","Thiếu họ tên",""),IF(AND($E171&lt;&gt;"",OR(NOT(ISNUMBER($E171)),$E171&lt;DATE(1940,1,1),$E171&gt;TODAY())),"Ngày sinh không hợp lệ",""),IF(AND($G171&lt;&gt;"",OR(ISERROR(SEARCH("@",$G171)),ISERROR(SEARCH(".",$G171)))),"Email cá nhân không hợp lệ",""),IF(AND($H171&lt;&gt;"",OR(ISERROR(SEARCH("@",$H171)),ISERROR(SEARCH(".",$H171)))),"Email công ty không hợp lệ",""),IF(AND($I171&lt;&gt;"",OR(LEN($I171)&lt;9,LEN($I171)&gt;15,NOT(ISNUMBER(--$I171)))),"Số điện thoại không hợp lệ","")))</f>
        <v/>
      </c>
      <c r="C171" s="20" t="n"/>
      <c r="D171" s="21" t="n"/>
      <c r="E171" s="22" t="n"/>
      <c r="F171" s="21" t="n"/>
      <c r="G171" s="21" t="n"/>
      <c r="H171" s="21" t="n"/>
      <c r="I171" s="20" t="n"/>
      <c r="J171" s="21" t="n"/>
      <c r="K171" s="21" t="n"/>
    </row>
    <row r="172">
      <c r="A172" s="19">
        <f>IF($C172="","CHƯA NHẬP",IF($B172="","HỢP LỆ","LỖI"))</f>
        <v/>
      </c>
      <c r="B172" s="19">
        <f>IF($C172="","",TEXTJOIN(" | ",TRUE,IF($C172="","Thiếu mã nhân viên",""),IF(COUNTIF($C$6:$C$505,$C172)&gt;1,"Trùng mã nhân viên",""),IF($D172="","Thiếu họ tên",""),IF(AND($E172&lt;&gt;"",OR(NOT(ISNUMBER($E172)),$E172&lt;DATE(1940,1,1),$E172&gt;TODAY())),"Ngày sinh không hợp lệ",""),IF(AND($G172&lt;&gt;"",OR(ISERROR(SEARCH("@",$G172)),ISERROR(SEARCH(".",$G172)))),"Email cá nhân không hợp lệ",""),IF(AND($H172&lt;&gt;"",OR(ISERROR(SEARCH("@",$H172)),ISERROR(SEARCH(".",$H172)))),"Email công ty không hợp lệ",""),IF(AND($I172&lt;&gt;"",OR(LEN($I172)&lt;9,LEN($I172)&gt;15,NOT(ISNUMBER(--$I172)))),"Số điện thoại không hợp lệ","")))</f>
        <v/>
      </c>
      <c r="C172" s="20" t="n"/>
      <c r="D172" s="21" t="n"/>
      <c r="E172" s="22" t="n"/>
      <c r="F172" s="21" t="n"/>
      <c r="G172" s="21" t="n"/>
      <c r="H172" s="21" t="n"/>
      <c r="I172" s="20" t="n"/>
      <c r="J172" s="21" t="n"/>
      <c r="K172" s="21" t="n"/>
    </row>
    <row r="173">
      <c r="A173" s="19">
        <f>IF($C173="","CHƯA NHẬP",IF($B173="","HỢP LỆ","LỖI"))</f>
        <v/>
      </c>
      <c r="B173" s="19">
        <f>IF($C173="","",TEXTJOIN(" | ",TRUE,IF($C173="","Thiếu mã nhân viên",""),IF(COUNTIF($C$6:$C$505,$C173)&gt;1,"Trùng mã nhân viên",""),IF($D173="","Thiếu họ tên",""),IF(AND($E173&lt;&gt;"",OR(NOT(ISNUMBER($E173)),$E173&lt;DATE(1940,1,1),$E173&gt;TODAY())),"Ngày sinh không hợp lệ",""),IF(AND($G173&lt;&gt;"",OR(ISERROR(SEARCH("@",$G173)),ISERROR(SEARCH(".",$G173)))),"Email cá nhân không hợp lệ",""),IF(AND($H173&lt;&gt;"",OR(ISERROR(SEARCH("@",$H173)),ISERROR(SEARCH(".",$H173)))),"Email công ty không hợp lệ",""),IF(AND($I173&lt;&gt;"",OR(LEN($I173)&lt;9,LEN($I173)&gt;15,NOT(ISNUMBER(--$I173)))),"Số điện thoại không hợp lệ","")))</f>
        <v/>
      </c>
      <c r="C173" s="20" t="n"/>
      <c r="D173" s="21" t="n"/>
      <c r="E173" s="22" t="n"/>
      <c r="F173" s="21" t="n"/>
      <c r="G173" s="21" t="n"/>
      <c r="H173" s="21" t="n"/>
      <c r="I173" s="20" t="n"/>
      <c r="J173" s="21" t="n"/>
      <c r="K173" s="21" t="n"/>
    </row>
    <row r="174">
      <c r="A174" s="19">
        <f>IF($C174="","CHƯA NHẬP",IF($B174="","HỢP LỆ","LỖI"))</f>
        <v/>
      </c>
      <c r="B174" s="19">
        <f>IF($C174="","",TEXTJOIN(" | ",TRUE,IF($C174="","Thiếu mã nhân viên",""),IF(COUNTIF($C$6:$C$505,$C174)&gt;1,"Trùng mã nhân viên",""),IF($D174="","Thiếu họ tên",""),IF(AND($E174&lt;&gt;"",OR(NOT(ISNUMBER($E174)),$E174&lt;DATE(1940,1,1),$E174&gt;TODAY())),"Ngày sinh không hợp lệ",""),IF(AND($G174&lt;&gt;"",OR(ISERROR(SEARCH("@",$G174)),ISERROR(SEARCH(".",$G174)))),"Email cá nhân không hợp lệ",""),IF(AND($H174&lt;&gt;"",OR(ISERROR(SEARCH("@",$H174)),ISERROR(SEARCH(".",$H174)))),"Email công ty không hợp lệ",""),IF(AND($I174&lt;&gt;"",OR(LEN($I174)&lt;9,LEN($I174)&gt;15,NOT(ISNUMBER(--$I174)))),"Số điện thoại không hợp lệ","")))</f>
        <v/>
      </c>
      <c r="C174" s="20" t="n"/>
      <c r="D174" s="21" t="n"/>
      <c r="E174" s="22" t="n"/>
      <c r="F174" s="21" t="n"/>
      <c r="G174" s="21" t="n"/>
      <c r="H174" s="21" t="n"/>
      <c r="I174" s="20" t="n"/>
      <c r="J174" s="21" t="n"/>
      <c r="K174" s="21" t="n"/>
    </row>
    <row r="175">
      <c r="A175" s="19">
        <f>IF($C175="","CHƯA NHẬP",IF($B175="","HỢP LỆ","LỖI"))</f>
        <v/>
      </c>
      <c r="B175" s="19">
        <f>IF($C175="","",TEXTJOIN(" | ",TRUE,IF($C175="","Thiếu mã nhân viên",""),IF(COUNTIF($C$6:$C$505,$C175)&gt;1,"Trùng mã nhân viên",""),IF($D175="","Thiếu họ tên",""),IF(AND($E175&lt;&gt;"",OR(NOT(ISNUMBER($E175)),$E175&lt;DATE(1940,1,1),$E175&gt;TODAY())),"Ngày sinh không hợp lệ",""),IF(AND($G175&lt;&gt;"",OR(ISERROR(SEARCH("@",$G175)),ISERROR(SEARCH(".",$G175)))),"Email cá nhân không hợp lệ",""),IF(AND($H175&lt;&gt;"",OR(ISERROR(SEARCH("@",$H175)),ISERROR(SEARCH(".",$H175)))),"Email công ty không hợp lệ",""),IF(AND($I175&lt;&gt;"",OR(LEN($I175)&lt;9,LEN($I175)&gt;15,NOT(ISNUMBER(--$I175)))),"Số điện thoại không hợp lệ","")))</f>
        <v/>
      </c>
      <c r="C175" s="20" t="n"/>
      <c r="D175" s="21" t="n"/>
      <c r="E175" s="22" t="n"/>
      <c r="F175" s="21" t="n"/>
      <c r="G175" s="21" t="n"/>
      <c r="H175" s="21" t="n"/>
      <c r="I175" s="20" t="n"/>
      <c r="J175" s="21" t="n"/>
      <c r="K175" s="21" t="n"/>
    </row>
    <row r="176">
      <c r="A176" s="19">
        <f>IF($C176="","CHƯA NHẬP",IF($B176="","HỢP LỆ","LỖI"))</f>
        <v/>
      </c>
      <c r="B176" s="19">
        <f>IF($C176="","",TEXTJOIN(" | ",TRUE,IF($C176="","Thiếu mã nhân viên",""),IF(COUNTIF($C$6:$C$505,$C176)&gt;1,"Trùng mã nhân viên",""),IF($D176="","Thiếu họ tên",""),IF(AND($E176&lt;&gt;"",OR(NOT(ISNUMBER($E176)),$E176&lt;DATE(1940,1,1),$E176&gt;TODAY())),"Ngày sinh không hợp lệ",""),IF(AND($G176&lt;&gt;"",OR(ISERROR(SEARCH("@",$G176)),ISERROR(SEARCH(".",$G176)))),"Email cá nhân không hợp lệ",""),IF(AND($H176&lt;&gt;"",OR(ISERROR(SEARCH("@",$H176)),ISERROR(SEARCH(".",$H176)))),"Email công ty không hợp lệ",""),IF(AND($I176&lt;&gt;"",OR(LEN($I176)&lt;9,LEN($I176)&gt;15,NOT(ISNUMBER(--$I176)))),"Số điện thoại không hợp lệ","")))</f>
        <v/>
      </c>
      <c r="C176" s="20" t="n"/>
      <c r="D176" s="21" t="n"/>
      <c r="E176" s="22" t="n"/>
      <c r="F176" s="21" t="n"/>
      <c r="G176" s="21" t="n"/>
      <c r="H176" s="21" t="n"/>
      <c r="I176" s="20" t="n"/>
      <c r="J176" s="21" t="n"/>
      <c r="K176" s="21" t="n"/>
    </row>
    <row r="177">
      <c r="A177" s="19">
        <f>IF($C177="","CHƯA NHẬP",IF($B177="","HỢP LỆ","LỖI"))</f>
        <v/>
      </c>
      <c r="B177" s="19">
        <f>IF($C177="","",TEXTJOIN(" | ",TRUE,IF($C177="","Thiếu mã nhân viên",""),IF(COUNTIF($C$6:$C$505,$C177)&gt;1,"Trùng mã nhân viên",""),IF($D177="","Thiếu họ tên",""),IF(AND($E177&lt;&gt;"",OR(NOT(ISNUMBER($E177)),$E177&lt;DATE(1940,1,1),$E177&gt;TODAY())),"Ngày sinh không hợp lệ",""),IF(AND($G177&lt;&gt;"",OR(ISERROR(SEARCH("@",$G177)),ISERROR(SEARCH(".",$G177)))),"Email cá nhân không hợp lệ",""),IF(AND($H177&lt;&gt;"",OR(ISERROR(SEARCH("@",$H177)),ISERROR(SEARCH(".",$H177)))),"Email công ty không hợp lệ",""),IF(AND($I177&lt;&gt;"",OR(LEN($I177)&lt;9,LEN($I177)&gt;15,NOT(ISNUMBER(--$I177)))),"Số điện thoại không hợp lệ","")))</f>
        <v/>
      </c>
      <c r="C177" s="20" t="n"/>
      <c r="D177" s="21" t="n"/>
      <c r="E177" s="22" t="n"/>
      <c r="F177" s="21" t="n"/>
      <c r="G177" s="21" t="n"/>
      <c r="H177" s="21" t="n"/>
      <c r="I177" s="20" t="n"/>
      <c r="J177" s="21" t="n"/>
      <c r="K177" s="21" t="n"/>
    </row>
    <row r="178">
      <c r="A178" s="19">
        <f>IF($C178="","CHƯA NHẬP",IF($B178="","HỢP LỆ","LỖI"))</f>
        <v/>
      </c>
      <c r="B178" s="19">
        <f>IF($C178="","",TEXTJOIN(" | ",TRUE,IF($C178="","Thiếu mã nhân viên",""),IF(COUNTIF($C$6:$C$505,$C178)&gt;1,"Trùng mã nhân viên",""),IF($D178="","Thiếu họ tên",""),IF(AND($E178&lt;&gt;"",OR(NOT(ISNUMBER($E178)),$E178&lt;DATE(1940,1,1),$E178&gt;TODAY())),"Ngày sinh không hợp lệ",""),IF(AND($G178&lt;&gt;"",OR(ISERROR(SEARCH("@",$G178)),ISERROR(SEARCH(".",$G178)))),"Email cá nhân không hợp lệ",""),IF(AND($H178&lt;&gt;"",OR(ISERROR(SEARCH("@",$H178)),ISERROR(SEARCH(".",$H178)))),"Email công ty không hợp lệ",""),IF(AND($I178&lt;&gt;"",OR(LEN($I178)&lt;9,LEN($I178)&gt;15,NOT(ISNUMBER(--$I178)))),"Số điện thoại không hợp lệ","")))</f>
        <v/>
      </c>
      <c r="C178" s="20" t="n"/>
      <c r="D178" s="21" t="n"/>
      <c r="E178" s="22" t="n"/>
      <c r="F178" s="21" t="n"/>
      <c r="G178" s="21" t="n"/>
      <c r="H178" s="21" t="n"/>
      <c r="I178" s="20" t="n"/>
      <c r="J178" s="21" t="n"/>
      <c r="K178" s="21" t="n"/>
    </row>
    <row r="179">
      <c r="A179" s="19">
        <f>IF($C179="","CHƯA NHẬP",IF($B179="","HỢP LỆ","LỖI"))</f>
        <v/>
      </c>
      <c r="B179" s="19">
        <f>IF($C179="","",TEXTJOIN(" | ",TRUE,IF($C179="","Thiếu mã nhân viên",""),IF(COUNTIF($C$6:$C$505,$C179)&gt;1,"Trùng mã nhân viên",""),IF($D179="","Thiếu họ tên",""),IF(AND($E179&lt;&gt;"",OR(NOT(ISNUMBER($E179)),$E179&lt;DATE(1940,1,1),$E179&gt;TODAY())),"Ngày sinh không hợp lệ",""),IF(AND($G179&lt;&gt;"",OR(ISERROR(SEARCH("@",$G179)),ISERROR(SEARCH(".",$G179)))),"Email cá nhân không hợp lệ",""),IF(AND($H179&lt;&gt;"",OR(ISERROR(SEARCH("@",$H179)),ISERROR(SEARCH(".",$H179)))),"Email công ty không hợp lệ",""),IF(AND($I179&lt;&gt;"",OR(LEN($I179)&lt;9,LEN($I179)&gt;15,NOT(ISNUMBER(--$I179)))),"Số điện thoại không hợp lệ","")))</f>
        <v/>
      </c>
      <c r="C179" s="20" t="n"/>
      <c r="D179" s="21" t="n"/>
      <c r="E179" s="22" t="n"/>
      <c r="F179" s="21" t="n"/>
      <c r="G179" s="21" t="n"/>
      <c r="H179" s="21" t="n"/>
      <c r="I179" s="20" t="n"/>
      <c r="J179" s="21" t="n"/>
      <c r="K179" s="21" t="n"/>
    </row>
    <row r="180">
      <c r="A180" s="19">
        <f>IF($C180="","CHƯA NHẬP",IF($B180="","HỢP LỆ","LỖI"))</f>
        <v/>
      </c>
      <c r="B180" s="19">
        <f>IF($C180="","",TEXTJOIN(" | ",TRUE,IF($C180="","Thiếu mã nhân viên",""),IF(COUNTIF($C$6:$C$505,$C180)&gt;1,"Trùng mã nhân viên",""),IF($D180="","Thiếu họ tên",""),IF(AND($E180&lt;&gt;"",OR(NOT(ISNUMBER($E180)),$E180&lt;DATE(1940,1,1),$E180&gt;TODAY())),"Ngày sinh không hợp lệ",""),IF(AND($G180&lt;&gt;"",OR(ISERROR(SEARCH("@",$G180)),ISERROR(SEARCH(".",$G180)))),"Email cá nhân không hợp lệ",""),IF(AND($H180&lt;&gt;"",OR(ISERROR(SEARCH("@",$H180)),ISERROR(SEARCH(".",$H180)))),"Email công ty không hợp lệ",""),IF(AND($I180&lt;&gt;"",OR(LEN($I180)&lt;9,LEN($I180)&gt;15,NOT(ISNUMBER(--$I180)))),"Số điện thoại không hợp lệ","")))</f>
        <v/>
      </c>
      <c r="C180" s="20" t="n"/>
      <c r="D180" s="21" t="n"/>
      <c r="E180" s="22" t="n"/>
      <c r="F180" s="21" t="n"/>
      <c r="G180" s="21" t="n"/>
      <c r="H180" s="21" t="n"/>
      <c r="I180" s="20" t="n"/>
      <c r="J180" s="21" t="n"/>
      <c r="K180" s="21" t="n"/>
    </row>
    <row r="181">
      <c r="A181" s="19">
        <f>IF($C181="","CHƯA NHẬP",IF($B181="","HỢP LỆ","LỖI"))</f>
        <v/>
      </c>
      <c r="B181" s="19">
        <f>IF($C181="","",TEXTJOIN(" | ",TRUE,IF($C181="","Thiếu mã nhân viên",""),IF(COUNTIF($C$6:$C$505,$C181)&gt;1,"Trùng mã nhân viên",""),IF($D181="","Thiếu họ tên",""),IF(AND($E181&lt;&gt;"",OR(NOT(ISNUMBER($E181)),$E181&lt;DATE(1940,1,1),$E181&gt;TODAY())),"Ngày sinh không hợp lệ",""),IF(AND($G181&lt;&gt;"",OR(ISERROR(SEARCH("@",$G181)),ISERROR(SEARCH(".",$G181)))),"Email cá nhân không hợp lệ",""),IF(AND($H181&lt;&gt;"",OR(ISERROR(SEARCH("@",$H181)),ISERROR(SEARCH(".",$H181)))),"Email công ty không hợp lệ",""),IF(AND($I181&lt;&gt;"",OR(LEN($I181)&lt;9,LEN($I181)&gt;15,NOT(ISNUMBER(--$I181)))),"Số điện thoại không hợp lệ","")))</f>
        <v/>
      </c>
      <c r="C181" s="20" t="n"/>
      <c r="D181" s="21" t="n"/>
      <c r="E181" s="22" t="n"/>
      <c r="F181" s="21" t="n"/>
      <c r="G181" s="21" t="n"/>
      <c r="H181" s="21" t="n"/>
      <c r="I181" s="20" t="n"/>
      <c r="J181" s="21" t="n"/>
      <c r="K181" s="21" t="n"/>
    </row>
    <row r="182">
      <c r="A182" s="19">
        <f>IF($C182="","CHƯA NHẬP",IF($B182="","HỢP LỆ","LỖI"))</f>
        <v/>
      </c>
      <c r="B182" s="19">
        <f>IF($C182="","",TEXTJOIN(" | ",TRUE,IF($C182="","Thiếu mã nhân viên",""),IF(COUNTIF($C$6:$C$505,$C182)&gt;1,"Trùng mã nhân viên",""),IF($D182="","Thiếu họ tên",""),IF(AND($E182&lt;&gt;"",OR(NOT(ISNUMBER($E182)),$E182&lt;DATE(1940,1,1),$E182&gt;TODAY())),"Ngày sinh không hợp lệ",""),IF(AND($G182&lt;&gt;"",OR(ISERROR(SEARCH("@",$G182)),ISERROR(SEARCH(".",$G182)))),"Email cá nhân không hợp lệ",""),IF(AND($H182&lt;&gt;"",OR(ISERROR(SEARCH("@",$H182)),ISERROR(SEARCH(".",$H182)))),"Email công ty không hợp lệ",""),IF(AND($I182&lt;&gt;"",OR(LEN($I182)&lt;9,LEN($I182)&gt;15,NOT(ISNUMBER(--$I182)))),"Số điện thoại không hợp lệ","")))</f>
        <v/>
      </c>
      <c r="C182" s="20" t="n"/>
      <c r="D182" s="21" t="n"/>
      <c r="E182" s="22" t="n"/>
      <c r="F182" s="21" t="n"/>
      <c r="G182" s="21" t="n"/>
      <c r="H182" s="21" t="n"/>
      <c r="I182" s="20" t="n"/>
      <c r="J182" s="21" t="n"/>
      <c r="K182" s="21" t="n"/>
    </row>
    <row r="183">
      <c r="A183" s="19">
        <f>IF($C183="","CHƯA NHẬP",IF($B183="","HỢP LỆ","LỖI"))</f>
        <v/>
      </c>
      <c r="B183" s="19">
        <f>IF($C183="","",TEXTJOIN(" | ",TRUE,IF($C183="","Thiếu mã nhân viên",""),IF(COUNTIF($C$6:$C$505,$C183)&gt;1,"Trùng mã nhân viên",""),IF($D183="","Thiếu họ tên",""),IF(AND($E183&lt;&gt;"",OR(NOT(ISNUMBER($E183)),$E183&lt;DATE(1940,1,1),$E183&gt;TODAY())),"Ngày sinh không hợp lệ",""),IF(AND($G183&lt;&gt;"",OR(ISERROR(SEARCH("@",$G183)),ISERROR(SEARCH(".",$G183)))),"Email cá nhân không hợp lệ",""),IF(AND($H183&lt;&gt;"",OR(ISERROR(SEARCH("@",$H183)),ISERROR(SEARCH(".",$H183)))),"Email công ty không hợp lệ",""),IF(AND($I183&lt;&gt;"",OR(LEN($I183)&lt;9,LEN($I183)&gt;15,NOT(ISNUMBER(--$I183)))),"Số điện thoại không hợp lệ","")))</f>
        <v/>
      </c>
      <c r="C183" s="20" t="n"/>
      <c r="D183" s="21" t="n"/>
      <c r="E183" s="22" t="n"/>
      <c r="F183" s="21" t="n"/>
      <c r="G183" s="21" t="n"/>
      <c r="H183" s="21" t="n"/>
      <c r="I183" s="20" t="n"/>
      <c r="J183" s="21" t="n"/>
      <c r="K183" s="21" t="n"/>
    </row>
    <row r="184">
      <c r="A184" s="19">
        <f>IF($C184="","CHƯA NHẬP",IF($B184="","HỢP LỆ","LỖI"))</f>
        <v/>
      </c>
      <c r="B184" s="19">
        <f>IF($C184="","",TEXTJOIN(" | ",TRUE,IF($C184="","Thiếu mã nhân viên",""),IF(COUNTIF($C$6:$C$505,$C184)&gt;1,"Trùng mã nhân viên",""),IF($D184="","Thiếu họ tên",""),IF(AND($E184&lt;&gt;"",OR(NOT(ISNUMBER($E184)),$E184&lt;DATE(1940,1,1),$E184&gt;TODAY())),"Ngày sinh không hợp lệ",""),IF(AND($G184&lt;&gt;"",OR(ISERROR(SEARCH("@",$G184)),ISERROR(SEARCH(".",$G184)))),"Email cá nhân không hợp lệ",""),IF(AND($H184&lt;&gt;"",OR(ISERROR(SEARCH("@",$H184)),ISERROR(SEARCH(".",$H184)))),"Email công ty không hợp lệ",""),IF(AND($I184&lt;&gt;"",OR(LEN($I184)&lt;9,LEN($I184)&gt;15,NOT(ISNUMBER(--$I184)))),"Số điện thoại không hợp lệ","")))</f>
        <v/>
      </c>
      <c r="C184" s="20" t="n"/>
      <c r="D184" s="21" t="n"/>
      <c r="E184" s="22" t="n"/>
      <c r="F184" s="21" t="n"/>
      <c r="G184" s="21" t="n"/>
      <c r="H184" s="21" t="n"/>
      <c r="I184" s="20" t="n"/>
      <c r="J184" s="21" t="n"/>
      <c r="K184" s="21" t="n"/>
    </row>
    <row r="185">
      <c r="A185" s="19">
        <f>IF($C185="","CHƯA NHẬP",IF($B185="","HỢP LỆ","LỖI"))</f>
        <v/>
      </c>
      <c r="B185" s="19">
        <f>IF($C185="","",TEXTJOIN(" | ",TRUE,IF($C185="","Thiếu mã nhân viên",""),IF(COUNTIF($C$6:$C$505,$C185)&gt;1,"Trùng mã nhân viên",""),IF($D185="","Thiếu họ tên",""),IF(AND($E185&lt;&gt;"",OR(NOT(ISNUMBER($E185)),$E185&lt;DATE(1940,1,1),$E185&gt;TODAY())),"Ngày sinh không hợp lệ",""),IF(AND($G185&lt;&gt;"",OR(ISERROR(SEARCH("@",$G185)),ISERROR(SEARCH(".",$G185)))),"Email cá nhân không hợp lệ",""),IF(AND($H185&lt;&gt;"",OR(ISERROR(SEARCH("@",$H185)),ISERROR(SEARCH(".",$H185)))),"Email công ty không hợp lệ",""),IF(AND($I185&lt;&gt;"",OR(LEN($I185)&lt;9,LEN($I185)&gt;15,NOT(ISNUMBER(--$I185)))),"Số điện thoại không hợp lệ","")))</f>
        <v/>
      </c>
      <c r="C185" s="20" t="n"/>
      <c r="D185" s="21" t="n"/>
      <c r="E185" s="22" t="n"/>
      <c r="F185" s="21" t="n"/>
      <c r="G185" s="21" t="n"/>
      <c r="H185" s="21" t="n"/>
      <c r="I185" s="20" t="n"/>
      <c r="J185" s="21" t="n"/>
      <c r="K185" s="21" t="n"/>
    </row>
    <row r="186">
      <c r="A186" s="19">
        <f>IF($C186="","CHƯA NHẬP",IF($B186="","HỢP LỆ","LỖI"))</f>
        <v/>
      </c>
      <c r="B186" s="19">
        <f>IF($C186="","",TEXTJOIN(" | ",TRUE,IF($C186="","Thiếu mã nhân viên",""),IF(COUNTIF($C$6:$C$505,$C186)&gt;1,"Trùng mã nhân viên",""),IF($D186="","Thiếu họ tên",""),IF(AND($E186&lt;&gt;"",OR(NOT(ISNUMBER($E186)),$E186&lt;DATE(1940,1,1),$E186&gt;TODAY())),"Ngày sinh không hợp lệ",""),IF(AND($G186&lt;&gt;"",OR(ISERROR(SEARCH("@",$G186)),ISERROR(SEARCH(".",$G186)))),"Email cá nhân không hợp lệ",""),IF(AND($H186&lt;&gt;"",OR(ISERROR(SEARCH("@",$H186)),ISERROR(SEARCH(".",$H186)))),"Email công ty không hợp lệ",""),IF(AND($I186&lt;&gt;"",OR(LEN($I186)&lt;9,LEN($I186)&gt;15,NOT(ISNUMBER(--$I186)))),"Số điện thoại không hợp lệ","")))</f>
        <v/>
      </c>
      <c r="C186" s="20" t="n"/>
      <c r="D186" s="21" t="n"/>
      <c r="E186" s="22" t="n"/>
      <c r="F186" s="21" t="n"/>
      <c r="G186" s="21" t="n"/>
      <c r="H186" s="21" t="n"/>
      <c r="I186" s="20" t="n"/>
      <c r="J186" s="21" t="n"/>
      <c r="K186" s="21" t="n"/>
    </row>
    <row r="187">
      <c r="A187" s="19">
        <f>IF($C187="","CHƯA NHẬP",IF($B187="","HỢP LỆ","LỖI"))</f>
        <v/>
      </c>
      <c r="B187" s="19">
        <f>IF($C187="","",TEXTJOIN(" | ",TRUE,IF($C187="","Thiếu mã nhân viên",""),IF(COUNTIF($C$6:$C$505,$C187)&gt;1,"Trùng mã nhân viên",""),IF($D187="","Thiếu họ tên",""),IF(AND($E187&lt;&gt;"",OR(NOT(ISNUMBER($E187)),$E187&lt;DATE(1940,1,1),$E187&gt;TODAY())),"Ngày sinh không hợp lệ",""),IF(AND($G187&lt;&gt;"",OR(ISERROR(SEARCH("@",$G187)),ISERROR(SEARCH(".",$G187)))),"Email cá nhân không hợp lệ",""),IF(AND($H187&lt;&gt;"",OR(ISERROR(SEARCH("@",$H187)),ISERROR(SEARCH(".",$H187)))),"Email công ty không hợp lệ",""),IF(AND($I187&lt;&gt;"",OR(LEN($I187)&lt;9,LEN($I187)&gt;15,NOT(ISNUMBER(--$I187)))),"Số điện thoại không hợp lệ","")))</f>
        <v/>
      </c>
      <c r="C187" s="20" t="n"/>
      <c r="D187" s="21" t="n"/>
      <c r="E187" s="22" t="n"/>
      <c r="F187" s="21" t="n"/>
      <c r="G187" s="21" t="n"/>
      <c r="H187" s="21" t="n"/>
      <c r="I187" s="20" t="n"/>
      <c r="J187" s="21" t="n"/>
      <c r="K187" s="21" t="n"/>
    </row>
    <row r="188">
      <c r="A188" s="19">
        <f>IF($C188="","CHƯA NHẬP",IF($B188="","HỢP LỆ","LỖI"))</f>
        <v/>
      </c>
      <c r="B188" s="19">
        <f>IF($C188="","",TEXTJOIN(" | ",TRUE,IF($C188="","Thiếu mã nhân viên",""),IF(COUNTIF($C$6:$C$505,$C188)&gt;1,"Trùng mã nhân viên",""),IF($D188="","Thiếu họ tên",""),IF(AND($E188&lt;&gt;"",OR(NOT(ISNUMBER($E188)),$E188&lt;DATE(1940,1,1),$E188&gt;TODAY())),"Ngày sinh không hợp lệ",""),IF(AND($G188&lt;&gt;"",OR(ISERROR(SEARCH("@",$G188)),ISERROR(SEARCH(".",$G188)))),"Email cá nhân không hợp lệ",""),IF(AND($H188&lt;&gt;"",OR(ISERROR(SEARCH("@",$H188)),ISERROR(SEARCH(".",$H188)))),"Email công ty không hợp lệ",""),IF(AND($I188&lt;&gt;"",OR(LEN($I188)&lt;9,LEN($I188)&gt;15,NOT(ISNUMBER(--$I188)))),"Số điện thoại không hợp lệ","")))</f>
        <v/>
      </c>
      <c r="C188" s="20" t="n"/>
      <c r="D188" s="21" t="n"/>
      <c r="E188" s="22" t="n"/>
      <c r="F188" s="21" t="n"/>
      <c r="G188" s="21" t="n"/>
      <c r="H188" s="21" t="n"/>
      <c r="I188" s="20" t="n"/>
      <c r="J188" s="21" t="n"/>
      <c r="K188" s="21" t="n"/>
    </row>
    <row r="189">
      <c r="A189" s="19">
        <f>IF($C189="","CHƯA NHẬP",IF($B189="","HỢP LỆ","LỖI"))</f>
        <v/>
      </c>
      <c r="B189" s="19">
        <f>IF($C189="","",TEXTJOIN(" | ",TRUE,IF($C189="","Thiếu mã nhân viên",""),IF(COUNTIF($C$6:$C$505,$C189)&gt;1,"Trùng mã nhân viên",""),IF($D189="","Thiếu họ tên",""),IF(AND($E189&lt;&gt;"",OR(NOT(ISNUMBER($E189)),$E189&lt;DATE(1940,1,1),$E189&gt;TODAY())),"Ngày sinh không hợp lệ",""),IF(AND($G189&lt;&gt;"",OR(ISERROR(SEARCH("@",$G189)),ISERROR(SEARCH(".",$G189)))),"Email cá nhân không hợp lệ",""),IF(AND($H189&lt;&gt;"",OR(ISERROR(SEARCH("@",$H189)),ISERROR(SEARCH(".",$H189)))),"Email công ty không hợp lệ",""),IF(AND($I189&lt;&gt;"",OR(LEN($I189)&lt;9,LEN($I189)&gt;15,NOT(ISNUMBER(--$I189)))),"Số điện thoại không hợp lệ","")))</f>
        <v/>
      </c>
      <c r="C189" s="20" t="n"/>
      <c r="D189" s="21" t="n"/>
      <c r="E189" s="22" t="n"/>
      <c r="F189" s="21" t="n"/>
      <c r="G189" s="21" t="n"/>
      <c r="H189" s="21" t="n"/>
      <c r="I189" s="20" t="n"/>
      <c r="J189" s="21" t="n"/>
      <c r="K189" s="21" t="n"/>
    </row>
    <row r="190">
      <c r="A190" s="19">
        <f>IF($C190="","CHƯA NHẬP",IF($B190="","HỢP LỆ","LỖI"))</f>
        <v/>
      </c>
      <c r="B190" s="19">
        <f>IF($C190="","",TEXTJOIN(" | ",TRUE,IF($C190="","Thiếu mã nhân viên",""),IF(COUNTIF($C$6:$C$505,$C190)&gt;1,"Trùng mã nhân viên",""),IF($D190="","Thiếu họ tên",""),IF(AND($E190&lt;&gt;"",OR(NOT(ISNUMBER($E190)),$E190&lt;DATE(1940,1,1),$E190&gt;TODAY())),"Ngày sinh không hợp lệ",""),IF(AND($G190&lt;&gt;"",OR(ISERROR(SEARCH("@",$G190)),ISERROR(SEARCH(".",$G190)))),"Email cá nhân không hợp lệ",""),IF(AND($H190&lt;&gt;"",OR(ISERROR(SEARCH("@",$H190)),ISERROR(SEARCH(".",$H190)))),"Email công ty không hợp lệ",""),IF(AND($I190&lt;&gt;"",OR(LEN($I190)&lt;9,LEN($I190)&gt;15,NOT(ISNUMBER(--$I190)))),"Số điện thoại không hợp lệ","")))</f>
        <v/>
      </c>
      <c r="C190" s="20" t="n"/>
      <c r="D190" s="21" t="n"/>
      <c r="E190" s="22" t="n"/>
      <c r="F190" s="21" t="n"/>
      <c r="G190" s="21" t="n"/>
      <c r="H190" s="21" t="n"/>
      <c r="I190" s="20" t="n"/>
      <c r="J190" s="21" t="n"/>
      <c r="K190" s="21" t="n"/>
    </row>
    <row r="191">
      <c r="A191" s="19">
        <f>IF($C191="","CHƯA NHẬP",IF($B191="","HỢP LỆ","LỖI"))</f>
        <v/>
      </c>
      <c r="B191" s="19">
        <f>IF($C191="","",TEXTJOIN(" | ",TRUE,IF($C191="","Thiếu mã nhân viên",""),IF(COUNTIF($C$6:$C$505,$C191)&gt;1,"Trùng mã nhân viên",""),IF($D191="","Thiếu họ tên",""),IF(AND($E191&lt;&gt;"",OR(NOT(ISNUMBER($E191)),$E191&lt;DATE(1940,1,1),$E191&gt;TODAY())),"Ngày sinh không hợp lệ",""),IF(AND($G191&lt;&gt;"",OR(ISERROR(SEARCH("@",$G191)),ISERROR(SEARCH(".",$G191)))),"Email cá nhân không hợp lệ",""),IF(AND($H191&lt;&gt;"",OR(ISERROR(SEARCH("@",$H191)),ISERROR(SEARCH(".",$H191)))),"Email công ty không hợp lệ",""),IF(AND($I191&lt;&gt;"",OR(LEN($I191)&lt;9,LEN($I191)&gt;15,NOT(ISNUMBER(--$I191)))),"Số điện thoại không hợp lệ","")))</f>
        <v/>
      </c>
      <c r="C191" s="20" t="n"/>
      <c r="D191" s="21" t="n"/>
      <c r="E191" s="22" t="n"/>
      <c r="F191" s="21" t="n"/>
      <c r="G191" s="21" t="n"/>
      <c r="H191" s="21" t="n"/>
      <c r="I191" s="20" t="n"/>
      <c r="J191" s="21" t="n"/>
      <c r="K191" s="21" t="n"/>
    </row>
    <row r="192">
      <c r="A192" s="19">
        <f>IF($C192="","CHƯA NHẬP",IF($B192="","HỢP LỆ","LỖI"))</f>
        <v/>
      </c>
      <c r="B192" s="19">
        <f>IF($C192="","",TEXTJOIN(" | ",TRUE,IF($C192="","Thiếu mã nhân viên",""),IF(COUNTIF($C$6:$C$505,$C192)&gt;1,"Trùng mã nhân viên",""),IF($D192="","Thiếu họ tên",""),IF(AND($E192&lt;&gt;"",OR(NOT(ISNUMBER($E192)),$E192&lt;DATE(1940,1,1),$E192&gt;TODAY())),"Ngày sinh không hợp lệ",""),IF(AND($G192&lt;&gt;"",OR(ISERROR(SEARCH("@",$G192)),ISERROR(SEARCH(".",$G192)))),"Email cá nhân không hợp lệ",""),IF(AND($H192&lt;&gt;"",OR(ISERROR(SEARCH("@",$H192)),ISERROR(SEARCH(".",$H192)))),"Email công ty không hợp lệ",""),IF(AND($I192&lt;&gt;"",OR(LEN($I192)&lt;9,LEN($I192)&gt;15,NOT(ISNUMBER(--$I192)))),"Số điện thoại không hợp lệ","")))</f>
        <v/>
      </c>
      <c r="C192" s="20" t="n"/>
      <c r="D192" s="21" t="n"/>
      <c r="E192" s="22" t="n"/>
      <c r="F192" s="21" t="n"/>
      <c r="G192" s="21" t="n"/>
      <c r="H192" s="21" t="n"/>
      <c r="I192" s="20" t="n"/>
      <c r="J192" s="21" t="n"/>
      <c r="K192" s="21" t="n"/>
    </row>
    <row r="193">
      <c r="A193" s="19">
        <f>IF($C193="","CHƯA NHẬP",IF($B193="","HỢP LỆ","LỖI"))</f>
        <v/>
      </c>
      <c r="B193" s="19">
        <f>IF($C193="","",TEXTJOIN(" | ",TRUE,IF($C193="","Thiếu mã nhân viên",""),IF(COUNTIF($C$6:$C$505,$C193)&gt;1,"Trùng mã nhân viên",""),IF($D193="","Thiếu họ tên",""),IF(AND($E193&lt;&gt;"",OR(NOT(ISNUMBER($E193)),$E193&lt;DATE(1940,1,1),$E193&gt;TODAY())),"Ngày sinh không hợp lệ",""),IF(AND($G193&lt;&gt;"",OR(ISERROR(SEARCH("@",$G193)),ISERROR(SEARCH(".",$G193)))),"Email cá nhân không hợp lệ",""),IF(AND($H193&lt;&gt;"",OR(ISERROR(SEARCH("@",$H193)),ISERROR(SEARCH(".",$H193)))),"Email công ty không hợp lệ",""),IF(AND($I193&lt;&gt;"",OR(LEN($I193)&lt;9,LEN($I193)&gt;15,NOT(ISNUMBER(--$I193)))),"Số điện thoại không hợp lệ","")))</f>
        <v/>
      </c>
      <c r="C193" s="20" t="n"/>
      <c r="D193" s="21" t="n"/>
      <c r="E193" s="22" t="n"/>
      <c r="F193" s="21" t="n"/>
      <c r="G193" s="21" t="n"/>
      <c r="H193" s="21" t="n"/>
      <c r="I193" s="20" t="n"/>
      <c r="J193" s="21" t="n"/>
      <c r="K193" s="21" t="n"/>
    </row>
    <row r="194">
      <c r="A194" s="19">
        <f>IF($C194="","CHƯA NHẬP",IF($B194="","HỢP LỆ","LỖI"))</f>
        <v/>
      </c>
      <c r="B194" s="19">
        <f>IF($C194="","",TEXTJOIN(" | ",TRUE,IF($C194="","Thiếu mã nhân viên",""),IF(COUNTIF($C$6:$C$505,$C194)&gt;1,"Trùng mã nhân viên",""),IF($D194="","Thiếu họ tên",""),IF(AND($E194&lt;&gt;"",OR(NOT(ISNUMBER($E194)),$E194&lt;DATE(1940,1,1),$E194&gt;TODAY())),"Ngày sinh không hợp lệ",""),IF(AND($G194&lt;&gt;"",OR(ISERROR(SEARCH("@",$G194)),ISERROR(SEARCH(".",$G194)))),"Email cá nhân không hợp lệ",""),IF(AND($H194&lt;&gt;"",OR(ISERROR(SEARCH("@",$H194)),ISERROR(SEARCH(".",$H194)))),"Email công ty không hợp lệ",""),IF(AND($I194&lt;&gt;"",OR(LEN($I194)&lt;9,LEN($I194)&gt;15,NOT(ISNUMBER(--$I194)))),"Số điện thoại không hợp lệ","")))</f>
        <v/>
      </c>
      <c r="C194" s="20" t="n"/>
      <c r="D194" s="21" t="n"/>
      <c r="E194" s="22" t="n"/>
      <c r="F194" s="21" t="n"/>
      <c r="G194" s="21" t="n"/>
      <c r="H194" s="21" t="n"/>
      <c r="I194" s="20" t="n"/>
      <c r="J194" s="21" t="n"/>
      <c r="K194" s="21" t="n"/>
    </row>
    <row r="195">
      <c r="A195" s="19">
        <f>IF($C195="","CHƯA NHẬP",IF($B195="","HỢP LỆ","LỖI"))</f>
        <v/>
      </c>
      <c r="B195" s="19">
        <f>IF($C195="","",TEXTJOIN(" | ",TRUE,IF($C195="","Thiếu mã nhân viên",""),IF(COUNTIF($C$6:$C$505,$C195)&gt;1,"Trùng mã nhân viên",""),IF($D195="","Thiếu họ tên",""),IF(AND($E195&lt;&gt;"",OR(NOT(ISNUMBER($E195)),$E195&lt;DATE(1940,1,1),$E195&gt;TODAY())),"Ngày sinh không hợp lệ",""),IF(AND($G195&lt;&gt;"",OR(ISERROR(SEARCH("@",$G195)),ISERROR(SEARCH(".",$G195)))),"Email cá nhân không hợp lệ",""),IF(AND($H195&lt;&gt;"",OR(ISERROR(SEARCH("@",$H195)),ISERROR(SEARCH(".",$H195)))),"Email công ty không hợp lệ",""),IF(AND($I195&lt;&gt;"",OR(LEN($I195)&lt;9,LEN($I195)&gt;15,NOT(ISNUMBER(--$I195)))),"Số điện thoại không hợp lệ","")))</f>
        <v/>
      </c>
      <c r="C195" s="20" t="n"/>
      <c r="D195" s="21" t="n"/>
      <c r="E195" s="22" t="n"/>
      <c r="F195" s="21" t="n"/>
      <c r="G195" s="21" t="n"/>
      <c r="H195" s="21" t="n"/>
      <c r="I195" s="20" t="n"/>
      <c r="J195" s="21" t="n"/>
      <c r="K195" s="21" t="n"/>
    </row>
    <row r="196">
      <c r="A196" s="19">
        <f>IF($C196="","CHƯA NHẬP",IF($B196="","HỢP LỆ","LỖI"))</f>
        <v/>
      </c>
      <c r="B196" s="19">
        <f>IF($C196="","",TEXTJOIN(" | ",TRUE,IF($C196="","Thiếu mã nhân viên",""),IF(COUNTIF($C$6:$C$505,$C196)&gt;1,"Trùng mã nhân viên",""),IF($D196="","Thiếu họ tên",""),IF(AND($E196&lt;&gt;"",OR(NOT(ISNUMBER($E196)),$E196&lt;DATE(1940,1,1),$E196&gt;TODAY())),"Ngày sinh không hợp lệ",""),IF(AND($G196&lt;&gt;"",OR(ISERROR(SEARCH("@",$G196)),ISERROR(SEARCH(".",$G196)))),"Email cá nhân không hợp lệ",""),IF(AND($H196&lt;&gt;"",OR(ISERROR(SEARCH("@",$H196)),ISERROR(SEARCH(".",$H196)))),"Email công ty không hợp lệ",""),IF(AND($I196&lt;&gt;"",OR(LEN($I196)&lt;9,LEN($I196)&gt;15,NOT(ISNUMBER(--$I196)))),"Số điện thoại không hợp lệ","")))</f>
        <v/>
      </c>
      <c r="C196" s="20" t="n"/>
      <c r="D196" s="21" t="n"/>
      <c r="E196" s="22" t="n"/>
      <c r="F196" s="21" t="n"/>
      <c r="G196" s="21" t="n"/>
      <c r="H196" s="21" t="n"/>
      <c r="I196" s="20" t="n"/>
      <c r="J196" s="21" t="n"/>
      <c r="K196" s="21" t="n"/>
    </row>
    <row r="197">
      <c r="A197" s="19">
        <f>IF($C197="","CHƯA NHẬP",IF($B197="","HỢP LỆ","LỖI"))</f>
        <v/>
      </c>
      <c r="B197" s="19">
        <f>IF($C197="","",TEXTJOIN(" | ",TRUE,IF($C197="","Thiếu mã nhân viên",""),IF(COUNTIF($C$6:$C$505,$C197)&gt;1,"Trùng mã nhân viên",""),IF($D197="","Thiếu họ tên",""),IF(AND($E197&lt;&gt;"",OR(NOT(ISNUMBER($E197)),$E197&lt;DATE(1940,1,1),$E197&gt;TODAY())),"Ngày sinh không hợp lệ",""),IF(AND($G197&lt;&gt;"",OR(ISERROR(SEARCH("@",$G197)),ISERROR(SEARCH(".",$G197)))),"Email cá nhân không hợp lệ",""),IF(AND($H197&lt;&gt;"",OR(ISERROR(SEARCH("@",$H197)),ISERROR(SEARCH(".",$H197)))),"Email công ty không hợp lệ",""),IF(AND($I197&lt;&gt;"",OR(LEN($I197)&lt;9,LEN($I197)&gt;15,NOT(ISNUMBER(--$I197)))),"Số điện thoại không hợp lệ","")))</f>
        <v/>
      </c>
      <c r="C197" s="20" t="n"/>
      <c r="D197" s="21" t="n"/>
      <c r="E197" s="22" t="n"/>
      <c r="F197" s="21" t="n"/>
      <c r="G197" s="21" t="n"/>
      <c r="H197" s="21" t="n"/>
      <c r="I197" s="20" t="n"/>
      <c r="J197" s="21" t="n"/>
      <c r="K197" s="21" t="n"/>
    </row>
    <row r="198">
      <c r="A198" s="19">
        <f>IF($C198="","CHƯA NHẬP",IF($B198="","HỢP LỆ","LỖI"))</f>
        <v/>
      </c>
      <c r="B198" s="19">
        <f>IF($C198="","",TEXTJOIN(" | ",TRUE,IF($C198="","Thiếu mã nhân viên",""),IF(COUNTIF($C$6:$C$505,$C198)&gt;1,"Trùng mã nhân viên",""),IF($D198="","Thiếu họ tên",""),IF(AND($E198&lt;&gt;"",OR(NOT(ISNUMBER($E198)),$E198&lt;DATE(1940,1,1),$E198&gt;TODAY())),"Ngày sinh không hợp lệ",""),IF(AND($G198&lt;&gt;"",OR(ISERROR(SEARCH("@",$G198)),ISERROR(SEARCH(".",$G198)))),"Email cá nhân không hợp lệ",""),IF(AND($H198&lt;&gt;"",OR(ISERROR(SEARCH("@",$H198)),ISERROR(SEARCH(".",$H198)))),"Email công ty không hợp lệ",""),IF(AND($I198&lt;&gt;"",OR(LEN($I198)&lt;9,LEN($I198)&gt;15,NOT(ISNUMBER(--$I198)))),"Số điện thoại không hợp lệ","")))</f>
        <v/>
      </c>
      <c r="C198" s="20" t="n"/>
      <c r="D198" s="21" t="n"/>
      <c r="E198" s="22" t="n"/>
      <c r="F198" s="21" t="n"/>
      <c r="G198" s="21" t="n"/>
      <c r="H198" s="21" t="n"/>
      <c r="I198" s="20" t="n"/>
      <c r="J198" s="21" t="n"/>
      <c r="K198" s="21" t="n"/>
    </row>
    <row r="199">
      <c r="A199" s="19">
        <f>IF($C199="","CHƯA NHẬP",IF($B199="","HỢP LỆ","LỖI"))</f>
        <v/>
      </c>
      <c r="B199" s="19">
        <f>IF($C199="","",TEXTJOIN(" | ",TRUE,IF($C199="","Thiếu mã nhân viên",""),IF(COUNTIF($C$6:$C$505,$C199)&gt;1,"Trùng mã nhân viên",""),IF($D199="","Thiếu họ tên",""),IF(AND($E199&lt;&gt;"",OR(NOT(ISNUMBER($E199)),$E199&lt;DATE(1940,1,1),$E199&gt;TODAY())),"Ngày sinh không hợp lệ",""),IF(AND($G199&lt;&gt;"",OR(ISERROR(SEARCH("@",$G199)),ISERROR(SEARCH(".",$G199)))),"Email cá nhân không hợp lệ",""),IF(AND($H199&lt;&gt;"",OR(ISERROR(SEARCH("@",$H199)),ISERROR(SEARCH(".",$H199)))),"Email công ty không hợp lệ",""),IF(AND($I199&lt;&gt;"",OR(LEN($I199)&lt;9,LEN($I199)&gt;15,NOT(ISNUMBER(--$I199)))),"Số điện thoại không hợp lệ","")))</f>
        <v/>
      </c>
      <c r="C199" s="20" t="n"/>
      <c r="D199" s="21" t="n"/>
      <c r="E199" s="22" t="n"/>
      <c r="F199" s="21" t="n"/>
      <c r="G199" s="21" t="n"/>
      <c r="H199" s="21" t="n"/>
      <c r="I199" s="20" t="n"/>
      <c r="J199" s="21" t="n"/>
      <c r="K199" s="21" t="n"/>
    </row>
    <row r="200">
      <c r="A200" s="19">
        <f>IF($C200="","CHƯA NHẬP",IF($B200="","HỢP LỆ","LỖI"))</f>
        <v/>
      </c>
      <c r="B200" s="19">
        <f>IF($C200="","",TEXTJOIN(" | ",TRUE,IF($C200="","Thiếu mã nhân viên",""),IF(COUNTIF($C$6:$C$505,$C200)&gt;1,"Trùng mã nhân viên",""),IF($D200="","Thiếu họ tên",""),IF(AND($E200&lt;&gt;"",OR(NOT(ISNUMBER($E200)),$E200&lt;DATE(1940,1,1),$E200&gt;TODAY())),"Ngày sinh không hợp lệ",""),IF(AND($G200&lt;&gt;"",OR(ISERROR(SEARCH("@",$G200)),ISERROR(SEARCH(".",$G200)))),"Email cá nhân không hợp lệ",""),IF(AND($H200&lt;&gt;"",OR(ISERROR(SEARCH("@",$H200)),ISERROR(SEARCH(".",$H200)))),"Email công ty không hợp lệ",""),IF(AND($I200&lt;&gt;"",OR(LEN($I200)&lt;9,LEN($I200)&gt;15,NOT(ISNUMBER(--$I200)))),"Số điện thoại không hợp lệ","")))</f>
        <v/>
      </c>
      <c r="C200" s="20" t="n"/>
      <c r="D200" s="21" t="n"/>
      <c r="E200" s="22" t="n"/>
      <c r="F200" s="21" t="n"/>
      <c r="G200" s="21" t="n"/>
      <c r="H200" s="21" t="n"/>
      <c r="I200" s="20" t="n"/>
      <c r="J200" s="21" t="n"/>
      <c r="K200" s="21" t="n"/>
    </row>
    <row r="201">
      <c r="A201" s="19">
        <f>IF($C201="","CHƯA NHẬP",IF($B201="","HỢP LỆ","LỖI"))</f>
        <v/>
      </c>
      <c r="B201" s="19">
        <f>IF($C201="","",TEXTJOIN(" | ",TRUE,IF($C201="","Thiếu mã nhân viên",""),IF(COUNTIF($C$6:$C$505,$C201)&gt;1,"Trùng mã nhân viên",""),IF($D201="","Thiếu họ tên",""),IF(AND($E201&lt;&gt;"",OR(NOT(ISNUMBER($E201)),$E201&lt;DATE(1940,1,1),$E201&gt;TODAY())),"Ngày sinh không hợp lệ",""),IF(AND($G201&lt;&gt;"",OR(ISERROR(SEARCH("@",$G201)),ISERROR(SEARCH(".",$G201)))),"Email cá nhân không hợp lệ",""),IF(AND($H201&lt;&gt;"",OR(ISERROR(SEARCH("@",$H201)),ISERROR(SEARCH(".",$H201)))),"Email công ty không hợp lệ",""),IF(AND($I201&lt;&gt;"",OR(LEN($I201)&lt;9,LEN($I201)&gt;15,NOT(ISNUMBER(--$I201)))),"Số điện thoại không hợp lệ","")))</f>
        <v/>
      </c>
      <c r="C201" s="20" t="n"/>
      <c r="D201" s="21" t="n"/>
      <c r="E201" s="22" t="n"/>
      <c r="F201" s="21" t="n"/>
      <c r="G201" s="21" t="n"/>
      <c r="H201" s="21" t="n"/>
      <c r="I201" s="20" t="n"/>
      <c r="J201" s="21" t="n"/>
      <c r="K201" s="21" t="n"/>
    </row>
    <row r="202">
      <c r="A202" s="19">
        <f>IF($C202="","CHƯA NHẬP",IF($B202="","HỢP LỆ","LỖI"))</f>
        <v/>
      </c>
      <c r="B202" s="19">
        <f>IF($C202="","",TEXTJOIN(" | ",TRUE,IF($C202="","Thiếu mã nhân viên",""),IF(COUNTIF($C$6:$C$505,$C202)&gt;1,"Trùng mã nhân viên",""),IF($D202="","Thiếu họ tên",""),IF(AND($E202&lt;&gt;"",OR(NOT(ISNUMBER($E202)),$E202&lt;DATE(1940,1,1),$E202&gt;TODAY())),"Ngày sinh không hợp lệ",""),IF(AND($G202&lt;&gt;"",OR(ISERROR(SEARCH("@",$G202)),ISERROR(SEARCH(".",$G202)))),"Email cá nhân không hợp lệ",""),IF(AND($H202&lt;&gt;"",OR(ISERROR(SEARCH("@",$H202)),ISERROR(SEARCH(".",$H202)))),"Email công ty không hợp lệ",""),IF(AND($I202&lt;&gt;"",OR(LEN($I202)&lt;9,LEN($I202)&gt;15,NOT(ISNUMBER(--$I202)))),"Số điện thoại không hợp lệ","")))</f>
        <v/>
      </c>
      <c r="C202" s="20" t="n"/>
      <c r="D202" s="21" t="n"/>
      <c r="E202" s="22" t="n"/>
      <c r="F202" s="21" t="n"/>
      <c r="G202" s="21" t="n"/>
      <c r="H202" s="21" t="n"/>
      <c r="I202" s="20" t="n"/>
      <c r="J202" s="21" t="n"/>
      <c r="K202" s="21" t="n"/>
    </row>
    <row r="203">
      <c r="A203" s="19">
        <f>IF($C203="","CHƯA NHẬP",IF($B203="","HỢP LỆ","LỖI"))</f>
        <v/>
      </c>
      <c r="B203" s="19">
        <f>IF($C203="","",TEXTJOIN(" | ",TRUE,IF($C203="","Thiếu mã nhân viên",""),IF(COUNTIF($C$6:$C$505,$C203)&gt;1,"Trùng mã nhân viên",""),IF($D203="","Thiếu họ tên",""),IF(AND($E203&lt;&gt;"",OR(NOT(ISNUMBER($E203)),$E203&lt;DATE(1940,1,1),$E203&gt;TODAY())),"Ngày sinh không hợp lệ",""),IF(AND($G203&lt;&gt;"",OR(ISERROR(SEARCH("@",$G203)),ISERROR(SEARCH(".",$G203)))),"Email cá nhân không hợp lệ",""),IF(AND($H203&lt;&gt;"",OR(ISERROR(SEARCH("@",$H203)),ISERROR(SEARCH(".",$H203)))),"Email công ty không hợp lệ",""),IF(AND($I203&lt;&gt;"",OR(LEN($I203)&lt;9,LEN($I203)&gt;15,NOT(ISNUMBER(--$I203)))),"Số điện thoại không hợp lệ","")))</f>
        <v/>
      </c>
      <c r="C203" s="20" t="n"/>
      <c r="D203" s="21" t="n"/>
      <c r="E203" s="22" t="n"/>
      <c r="F203" s="21" t="n"/>
      <c r="G203" s="21" t="n"/>
      <c r="H203" s="21" t="n"/>
      <c r="I203" s="20" t="n"/>
      <c r="J203" s="21" t="n"/>
      <c r="K203" s="21" t="n"/>
    </row>
    <row r="204">
      <c r="A204" s="19">
        <f>IF($C204="","CHƯA NHẬP",IF($B204="","HỢP LỆ","LỖI"))</f>
        <v/>
      </c>
      <c r="B204" s="19">
        <f>IF($C204="","",TEXTJOIN(" | ",TRUE,IF($C204="","Thiếu mã nhân viên",""),IF(COUNTIF($C$6:$C$505,$C204)&gt;1,"Trùng mã nhân viên",""),IF($D204="","Thiếu họ tên",""),IF(AND($E204&lt;&gt;"",OR(NOT(ISNUMBER($E204)),$E204&lt;DATE(1940,1,1),$E204&gt;TODAY())),"Ngày sinh không hợp lệ",""),IF(AND($G204&lt;&gt;"",OR(ISERROR(SEARCH("@",$G204)),ISERROR(SEARCH(".",$G204)))),"Email cá nhân không hợp lệ",""),IF(AND($H204&lt;&gt;"",OR(ISERROR(SEARCH("@",$H204)),ISERROR(SEARCH(".",$H204)))),"Email công ty không hợp lệ",""),IF(AND($I204&lt;&gt;"",OR(LEN($I204)&lt;9,LEN($I204)&gt;15,NOT(ISNUMBER(--$I204)))),"Số điện thoại không hợp lệ","")))</f>
        <v/>
      </c>
      <c r="C204" s="20" t="n"/>
      <c r="D204" s="21" t="n"/>
      <c r="E204" s="22" t="n"/>
      <c r="F204" s="21" t="n"/>
      <c r="G204" s="21" t="n"/>
      <c r="H204" s="21" t="n"/>
      <c r="I204" s="20" t="n"/>
      <c r="J204" s="21" t="n"/>
      <c r="K204" s="21" t="n"/>
    </row>
    <row r="205">
      <c r="A205" s="19">
        <f>IF($C205="","CHƯA NHẬP",IF($B205="","HỢP LỆ","LỖI"))</f>
        <v/>
      </c>
      <c r="B205" s="19">
        <f>IF($C205="","",TEXTJOIN(" | ",TRUE,IF($C205="","Thiếu mã nhân viên",""),IF(COUNTIF($C$6:$C$505,$C205)&gt;1,"Trùng mã nhân viên",""),IF($D205="","Thiếu họ tên",""),IF(AND($E205&lt;&gt;"",OR(NOT(ISNUMBER($E205)),$E205&lt;DATE(1940,1,1),$E205&gt;TODAY())),"Ngày sinh không hợp lệ",""),IF(AND($G205&lt;&gt;"",OR(ISERROR(SEARCH("@",$G205)),ISERROR(SEARCH(".",$G205)))),"Email cá nhân không hợp lệ",""),IF(AND($H205&lt;&gt;"",OR(ISERROR(SEARCH("@",$H205)),ISERROR(SEARCH(".",$H205)))),"Email công ty không hợp lệ",""),IF(AND($I205&lt;&gt;"",OR(LEN($I205)&lt;9,LEN($I205)&gt;15,NOT(ISNUMBER(--$I205)))),"Số điện thoại không hợp lệ","")))</f>
        <v/>
      </c>
      <c r="C205" s="20" t="n"/>
      <c r="D205" s="21" t="n"/>
      <c r="E205" s="22" t="n"/>
      <c r="F205" s="21" t="n"/>
      <c r="G205" s="21" t="n"/>
      <c r="H205" s="21" t="n"/>
      <c r="I205" s="20" t="n"/>
      <c r="J205" s="21" t="n"/>
      <c r="K205" s="21" t="n"/>
    </row>
    <row r="206">
      <c r="A206" s="19">
        <f>IF($C206="","CHƯA NHẬP",IF($B206="","HỢP LỆ","LỖI"))</f>
        <v/>
      </c>
      <c r="B206" s="19">
        <f>IF($C206="","",TEXTJOIN(" | ",TRUE,IF($C206="","Thiếu mã nhân viên",""),IF(COUNTIF($C$6:$C$505,$C206)&gt;1,"Trùng mã nhân viên",""),IF($D206="","Thiếu họ tên",""),IF(AND($E206&lt;&gt;"",OR(NOT(ISNUMBER($E206)),$E206&lt;DATE(1940,1,1),$E206&gt;TODAY())),"Ngày sinh không hợp lệ",""),IF(AND($G206&lt;&gt;"",OR(ISERROR(SEARCH("@",$G206)),ISERROR(SEARCH(".",$G206)))),"Email cá nhân không hợp lệ",""),IF(AND($H206&lt;&gt;"",OR(ISERROR(SEARCH("@",$H206)),ISERROR(SEARCH(".",$H206)))),"Email công ty không hợp lệ",""),IF(AND($I206&lt;&gt;"",OR(LEN($I206)&lt;9,LEN($I206)&gt;15,NOT(ISNUMBER(--$I206)))),"Số điện thoại không hợp lệ","")))</f>
        <v/>
      </c>
      <c r="C206" s="20" t="n"/>
      <c r="D206" s="21" t="n"/>
      <c r="E206" s="22" t="n"/>
      <c r="F206" s="21" t="n"/>
      <c r="G206" s="21" t="n"/>
      <c r="H206" s="21" t="n"/>
      <c r="I206" s="20" t="n"/>
      <c r="J206" s="21" t="n"/>
      <c r="K206" s="21" t="n"/>
    </row>
    <row r="207">
      <c r="A207" s="19">
        <f>IF($C207="","CHƯA NHẬP",IF($B207="","HỢP LỆ","LỖI"))</f>
        <v/>
      </c>
      <c r="B207" s="19">
        <f>IF($C207="","",TEXTJOIN(" | ",TRUE,IF($C207="","Thiếu mã nhân viên",""),IF(COUNTIF($C$6:$C$505,$C207)&gt;1,"Trùng mã nhân viên",""),IF($D207="","Thiếu họ tên",""),IF(AND($E207&lt;&gt;"",OR(NOT(ISNUMBER($E207)),$E207&lt;DATE(1940,1,1),$E207&gt;TODAY())),"Ngày sinh không hợp lệ",""),IF(AND($G207&lt;&gt;"",OR(ISERROR(SEARCH("@",$G207)),ISERROR(SEARCH(".",$G207)))),"Email cá nhân không hợp lệ",""),IF(AND($H207&lt;&gt;"",OR(ISERROR(SEARCH("@",$H207)),ISERROR(SEARCH(".",$H207)))),"Email công ty không hợp lệ",""),IF(AND($I207&lt;&gt;"",OR(LEN($I207)&lt;9,LEN($I207)&gt;15,NOT(ISNUMBER(--$I207)))),"Số điện thoại không hợp lệ","")))</f>
        <v/>
      </c>
      <c r="C207" s="20" t="n"/>
      <c r="D207" s="21" t="n"/>
      <c r="E207" s="22" t="n"/>
      <c r="F207" s="21" t="n"/>
      <c r="G207" s="21" t="n"/>
      <c r="H207" s="21" t="n"/>
      <c r="I207" s="20" t="n"/>
      <c r="J207" s="21" t="n"/>
      <c r="K207" s="21" t="n"/>
    </row>
    <row r="208">
      <c r="A208" s="19">
        <f>IF($C208="","CHƯA NHẬP",IF($B208="","HỢP LỆ","LỖI"))</f>
        <v/>
      </c>
      <c r="B208" s="19">
        <f>IF($C208="","",TEXTJOIN(" | ",TRUE,IF($C208="","Thiếu mã nhân viên",""),IF(COUNTIF($C$6:$C$505,$C208)&gt;1,"Trùng mã nhân viên",""),IF($D208="","Thiếu họ tên",""),IF(AND($E208&lt;&gt;"",OR(NOT(ISNUMBER($E208)),$E208&lt;DATE(1940,1,1),$E208&gt;TODAY())),"Ngày sinh không hợp lệ",""),IF(AND($G208&lt;&gt;"",OR(ISERROR(SEARCH("@",$G208)),ISERROR(SEARCH(".",$G208)))),"Email cá nhân không hợp lệ",""),IF(AND($H208&lt;&gt;"",OR(ISERROR(SEARCH("@",$H208)),ISERROR(SEARCH(".",$H208)))),"Email công ty không hợp lệ",""),IF(AND($I208&lt;&gt;"",OR(LEN($I208)&lt;9,LEN($I208)&gt;15,NOT(ISNUMBER(--$I208)))),"Số điện thoại không hợp lệ","")))</f>
        <v/>
      </c>
      <c r="C208" s="20" t="n"/>
      <c r="D208" s="21" t="n"/>
      <c r="E208" s="22" t="n"/>
      <c r="F208" s="21" t="n"/>
      <c r="G208" s="21" t="n"/>
      <c r="H208" s="21" t="n"/>
      <c r="I208" s="20" t="n"/>
      <c r="J208" s="21" t="n"/>
      <c r="K208" s="21" t="n"/>
    </row>
    <row r="209">
      <c r="A209" s="19">
        <f>IF($C209="","CHƯA NHẬP",IF($B209="","HỢP LỆ","LỖI"))</f>
        <v/>
      </c>
      <c r="B209" s="19">
        <f>IF($C209="","",TEXTJOIN(" | ",TRUE,IF($C209="","Thiếu mã nhân viên",""),IF(COUNTIF($C$6:$C$505,$C209)&gt;1,"Trùng mã nhân viên",""),IF($D209="","Thiếu họ tên",""),IF(AND($E209&lt;&gt;"",OR(NOT(ISNUMBER($E209)),$E209&lt;DATE(1940,1,1),$E209&gt;TODAY())),"Ngày sinh không hợp lệ",""),IF(AND($G209&lt;&gt;"",OR(ISERROR(SEARCH("@",$G209)),ISERROR(SEARCH(".",$G209)))),"Email cá nhân không hợp lệ",""),IF(AND($H209&lt;&gt;"",OR(ISERROR(SEARCH("@",$H209)),ISERROR(SEARCH(".",$H209)))),"Email công ty không hợp lệ",""),IF(AND($I209&lt;&gt;"",OR(LEN($I209)&lt;9,LEN($I209)&gt;15,NOT(ISNUMBER(--$I209)))),"Số điện thoại không hợp lệ","")))</f>
        <v/>
      </c>
      <c r="C209" s="20" t="n"/>
      <c r="D209" s="21" t="n"/>
      <c r="E209" s="22" t="n"/>
      <c r="F209" s="21" t="n"/>
      <c r="G209" s="21" t="n"/>
      <c r="H209" s="21" t="n"/>
      <c r="I209" s="20" t="n"/>
      <c r="J209" s="21" t="n"/>
      <c r="K209" s="21" t="n"/>
    </row>
    <row r="210">
      <c r="A210" s="19">
        <f>IF($C210="","CHƯA NHẬP",IF($B210="","HỢP LỆ","LỖI"))</f>
        <v/>
      </c>
      <c r="B210" s="19">
        <f>IF($C210="","",TEXTJOIN(" | ",TRUE,IF($C210="","Thiếu mã nhân viên",""),IF(COUNTIF($C$6:$C$505,$C210)&gt;1,"Trùng mã nhân viên",""),IF($D210="","Thiếu họ tên",""),IF(AND($E210&lt;&gt;"",OR(NOT(ISNUMBER($E210)),$E210&lt;DATE(1940,1,1),$E210&gt;TODAY())),"Ngày sinh không hợp lệ",""),IF(AND($G210&lt;&gt;"",OR(ISERROR(SEARCH("@",$G210)),ISERROR(SEARCH(".",$G210)))),"Email cá nhân không hợp lệ",""),IF(AND($H210&lt;&gt;"",OR(ISERROR(SEARCH("@",$H210)),ISERROR(SEARCH(".",$H210)))),"Email công ty không hợp lệ",""),IF(AND($I210&lt;&gt;"",OR(LEN($I210)&lt;9,LEN($I210)&gt;15,NOT(ISNUMBER(--$I210)))),"Số điện thoại không hợp lệ","")))</f>
        <v/>
      </c>
      <c r="C210" s="20" t="n"/>
      <c r="D210" s="21" t="n"/>
      <c r="E210" s="22" t="n"/>
      <c r="F210" s="21" t="n"/>
      <c r="G210" s="21" t="n"/>
      <c r="H210" s="21" t="n"/>
      <c r="I210" s="20" t="n"/>
      <c r="J210" s="21" t="n"/>
      <c r="K210" s="21" t="n"/>
    </row>
    <row r="211">
      <c r="A211" s="19">
        <f>IF($C211="","CHƯA NHẬP",IF($B211="","HỢP LỆ","LỖI"))</f>
        <v/>
      </c>
      <c r="B211" s="19">
        <f>IF($C211="","",TEXTJOIN(" | ",TRUE,IF($C211="","Thiếu mã nhân viên",""),IF(COUNTIF($C$6:$C$505,$C211)&gt;1,"Trùng mã nhân viên",""),IF($D211="","Thiếu họ tên",""),IF(AND($E211&lt;&gt;"",OR(NOT(ISNUMBER($E211)),$E211&lt;DATE(1940,1,1),$E211&gt;TODAY())),"Ngày sinh không hợp lệ",""),IF(AND($G211&lt;&gt;"",OR(ISERROR(SEARCH("@",$G211)),ISERROR(SEARCH(".",$G211)))),"Email cá nhân không hợp lệ",""),IF(AND($H211&lt;&gt;"",OR(ISERROR(SEARCH("@",$H211)),ISERROR(SEARCH(".",$H211)))),"Email công ty không hợp lệ",""),IF(AND($I211&lt;&gt;"",OR(LEN($I211)&lt;9,LEN($I211)&gt;15,NOT(ISNUMBER(--$I211)))),"Số điện thoại không hợp lệ","")))</f>
        <v/>
      </c>
      <c r="C211" s="20" t="n"/>
      <c r="D211" s="21" t="n"/>
      <c r="E211" s="22" t="n"/>
      <c r="F211" s="21" t="n"/>
      <c r="G211" s="21" t="n"/>
      <c r="H211" s="21" t="n"/>
      <c r="I211" s="20" t="n"/>
      <c r="J211" s="21" t="n"/>
      <c r="K211" s="21" t="n"/>
    </row>
    <row r="212">
      <c r="A212" s="19">
        <f>IF($C212="","CHƯA NHẬP",IF($B212="","HỢP LỆ","LỖI"))</f>
        <v/>
      </c>
      <c r="B212" s="19">
        <f>IF($C212="","",TEXTJOIN(" | ",TRUE,IF($C212="","Thiếu mã nhân viên",""),IF(COUNTIF($C$6:$C$505,$C212)&gt;1,"Trùng mã nhân viên",""),IF($D212="","Thiếu họ tên",""),IF(AND($E212&lt;&gt;"",OR(NOT(ISNUMBER($E212)),$E212&lt;DATE(1940,1,1),$E212&gt;TODAY())),"Ngày sinh không hợp lệ",""),IF(AND($G212&lt;&gt;"",OR(ISERROR(SEARCH("@",$G212)),ISERROR(SEARCH(".",$G212)))),"Email cá nhân không hợp lệ",""),IF(AND($H212&lt;&gt;"",OR(ISERROR(SEARCH("@",$H212)),ISERROR(SEARCH(".",$H212)))),"Email công ty không hợp lệ",""),IF(AND($I212&lt;&gt;"",OR(LEN($I212)&lt;9,LEN($I212)&gt;15,NOT(ISNUMBER(--$I212)))),"Số điện thoại không hợp lệ","")))</f>
        <v/>
      </c>
      <c r="C212" s="20" t="n"/>
      <c r="D212" s="21" t="n"/>
      <c r="E212" s="22" t="n"/>
      <c r="F212" s="21" t="n"/>
      <c r="G212" s="21" t="n"/>
      <c r="H212" s="21" t="n"/>
      <c r="I212" s="20" t="n"/>
      <c r="J212" s="21" t="n"/>
      <c r="K212" s="21" t="n"/>
    </row>
    <row r="213">
      <c r="A213" s="19">
        <f>IF($C213="","CHƯA NHẬP",IF($B213="","HỢP LỆ","LỖI"))</f>
        <v/>
      </c>
      <c r="B213" s="19">
        <f>IF($C213="","",TEXTJOIN(" | ",TRUE,IF($C213="","Thiếu mã nhân viên",""),IF(COUNTIF($C$6:$C$505,$C213)&gt;1,"Trùng mã nhân viên",""),IF($D213="","Thiếu họ tên",""),IF(AND($E213&lt;&gt;"",OR(NOT(ISNUMBER($E213)),$E213&lt;DATE(1940,1,1),$E213&gt;TODAY())),"Ngày sinh không hợp lệ",""),IF(AND($G213&lt;&gt;"",OR(ISERROR(SEARCH("@",$G213)),ISERROR(SEARCH(".",$G213)))),"Email cá nhân không hợp lệ",""),IF(AND($H213&lt;&gt;"",OR(ISERROR(SEARCH("@",$H213)),ISERROR(SEARCH(".",$H213)))),"Email công ty không hợp lệ",""),IF(AND($I213&lt;&gt;"",OR(LEN($I213)&lt;9,LEN($I213)&gt;15,NOT(ISNUMBER(--$I213)))),"Số điện thoại không hợp lệ","")))</f>
        <v/>
      </c>
      <c r="C213" s="20" t="n"/>
      <c r="D213" s="21" t="n"/>
      <c r="E213" s="22" t="n"/>
      <c r="F213" s="21" t="n"/>
      <c r="G213" s="21" t="n"/>
      <c r="H213" s="21" t="n"/>
      <c r="I213" s="20" t="n"/>
      <c r="J213" s="21" t="n"/>
      <c r="K213" s="21" t="n"/>
    </row>
    <row r="214">
      <c r="A214" s="19">
        <f>IF($C214="","CHƯA NHẬP",IF($B214="","HỢP LỆ","LỖI"))</f>
        <v/>
      </c>
      <c r="B214" s="19">
        <f>IF($C214="","",TEXTJOIN(" | ",TRUE,IF($C214="","Thiếu mã nhân viên",""),IF(COUNTIF($C$6:$C$505,$C214)&gt;1,"Trùng mã nhân viên",""),IF($D214="","Thiếu họ tên",""),IF(AND($E214&lt;&gt;"",OR(NOT(ISNUMBER($E214)),$E214&lt;DATE(1940,1,1),$E214&gt;TODAY())),"Ngày sinh không hợp lệ",""),IF(AND($G214&lt;&gt;"",OR(ISERROR(SEARCH("@",$G214)),ISERROR(SEARCH(".",$G214)))),"Email cá nhân không hợp lệ",""),IF(AND($H214&lt;&gt;"",OR(ISERROR(SEARCH("@",$H214)),ISERROR(SEARCH(".",$H214)))),"Email công ty không hợp lệ",""),IF(AND($I214&lt;&gt;"",OR(LEN($I214)&lt;9,LEN($I214)&gt;15,NOT(ISNUMBER(--$I214)))),"Số điện thoại không hợp lệ","")))</f>
        <v/>
      </c>
      <c r="C214" s="20" t="n"/>
      <c r="D214" s="21" t="n"/>
      <c r="E214" s="22" t="n"/>
      <c r="F214" s="21" t="n"/>
      <c r="G214" s="21" t="n"/>
      <c r="H214" s="21" t="n"/>
      <c r="I214" s="20" t="n"/>
      <c r="J214" s="21" t="n"/>
      <c r="K214" s="21" t="n"/>
    </row>
    <row r="215">
      <c r="A215" s="19">
        <f>IF($C215="","CHƯA NHẬP",IF($B215="","HỢP LỆ","LỖI"))</f>
        <v/>
      </c>
      <c r="B215" s="19">
        <f>IF($C215="","",TEXTJOIN(" | ",TRUE,IF($C215="","Thiếu mã nhân viên",""),IF(COUNTIF($C$6:$C$505,$C215)&gt;1,"Trùng mã nhân viên",""),IF($D215="","Thiếu họ tên",""),IF(AND($E215&lt;&gt;"",OR(NOT(ISNUMBER($E215)),$E215&lt;DATE(1940,1,1),$E215&gt;TODAY())),"Ngày sinh không hợp lệ",""),IF(AND($G215&lt;&gt;"",OR(ISERROR(SEARCH("@",$G215)),ISERROR(SEARCH(".",$G215)))),"Email cá nhân không hợp lệ",""),IF(AND($H215&lt;&gt;"",OR(ISERROR(SEARCH("@",$H215)),ISERROR(SEARCH(".",$H215)))),"Email công ty không hợp lệ",""),IF(AND($I215&lt;&gt;"",OR(LEN($I215)&lt;9,LEN($I215)&gt;15,NOT(ISNUMBER(--$I215)))),"Số điện thoại không hợp lệ","")))</f>
        <v/>
      </c>
      <c r="C215" s="20" t="n"/>
      <c r="D215" s="21" t="n"/>
      <c r="E215" s="22" t="n"/>
      <c r="F215" s="21" t="n"/>
      <c r="G215" s="21" t="n"/>
      <c r="H215" s="21" t="n"/>
      <c r="I215" s="20" t="n"/>
      <c r="J215" s="21" t="n"/>
      <c r="K215" s="21" t="n"/>
    </row>
    <row r="216">
      <c r="A216" s="19">
        <f>IF($C216="","CHƯA NHẬP",IF($B216="","HỢP LỆ","LỖI"))</f>
        <v/>
      </c>
      <c r="B216" s="19">
        <f>IF($C216="","",TEXTJOIN(" | ",TRUE,IF($C216="","Thiếu mã nhân viên",""),IF(COUNTIF($C$6:$C$505,$C216)&gt;1,"Trùng mã nhân viên",""),IF($D216="","Thiếu họ tên",""),IF(AND($E216&lt;&gt;"",OR(NOT(ISNUMBER($E216)),$E216&lt;DATE(1940,1,1),$E216&gt;TODAY())),"Ngày sinh không hợp lệ",""),IF(AND($G216&lt;&gt;"",OR(ISERROR(SEARCH("@",$G216)),ISERROR(SEARCH(".",$G216)))),"Email cá nhân không hợp lệ",""),IF(AND($H216&lt;&gt;"",OR(ISERROR(SEARCH("@",$H216)),ISERROR(SEARCH(".",$H216)))),"Email công ty không hợp lệ",""),IF(AND($I216&lt;&gt;"",OR(LEN($I216)&lt;9,LEN($I216)&gt;15,NOT(ISNUMBER(--$I216)))),"Số điện thoại không hợp lệ","")))</f>
        <v/>
      </c>
      <c r="C216" s="20" t="n"/>
      <c r="D216" s="21" t="n"/>
      <c r="E216" s="22" t="n"/>
      <c r="F216" s="21" t="n"/>
      <c r="G216" s="21" t="n"/>
      <c r="H216" s="21" t="n"/>
      <c r="I216" s="20" t="n"/>
      <c r="J216" s="21" t="n"/>
      <c r="K216" s="21" t="n"/>
    </row>
    <row r="217">
      <c r="A217" s="19">
        <f>IF($C217="","CHƯA NHẬP",IF($B217="","HỢP LỆ","LỖI"))</f>
        <v/>
      </c>
      <c r="B217" s="19">
        <f>IF($C217="","",TEXTJOIN(" | ",TRUE,IF($C217="","Thiếu mã nhân viên",""),IF(COUNTIF($C$6:$C$505,$C217)&gt;1,"Trùng mã nhân viên",""),IF($D217="","Thiếu họ tên",""),IF(AND($E217&lt;&gt;"",OR(NOT(ISNUMBER($E217)),$E217&lt;DATE(1940,1,1),$E217&gt;TODAY())),"Ngày sinh không hợp lệ",""),IF(AND($G217&lt;&gt;"",OR(ISERROR(SEARCH("@",$G217)),ISERROR(SEARCH(".",$G217)))),"Email cá nhân không hợp lệ",""),IF(AND($H217&lt;&gt;"",OR(ISERROR(SEARCH("@",$H217)),ISERROR(SEARCH(".",$H217)))),"Email công ty không hợp lệ",""),IF(AND($I217&lt;&gt;"",OR(LEN($I217)&lt;9,LEN($I217)&gt;15,NOT(ISNUMBER(--$I217)))),"Số điện thoại không hợp lệ","")))</f>
        <v/>
      </c>
      <c r="C217" s="20" t="n"/>
      <c r="D217" s="21" t="n"/>
      <c r="E217" s="22" t="n"/>
      <c r="F217" s="21" t="n"/>
      <c r="G217" s="21" t="n"/>
      <c r="H217" s="21" t="n"/>
      <c r="I217" s="20" t="n"/>
      <c r="J217" s="21" t="n"/>
      <c r="K217" s="21" t="n"/>
    </row>
    <row r="218">
      <c r="A218" s="19">
        <f>IF($C218="","CHƯA NHẬP",IF($B218="","HỢP LỆ","LỖI"))</f>
        <v/>
      </c>
      <c r="B218" s="19">
        <f>IF($C218="","",TEXTJOIN(" | ",TRUE,IF($C218="","Thiếu mã nhân viên",""),IF(COUNTIF($C$6:$C$505,$C218)&gt;1,"Trùng mã nhân viên",""),IF($D218="","Thiếu họ tên",""),IF(AND($E218&lt;&gt;"",OR(NOT(ISNUMBER($E218)),$E218&lt;DATE(1940,1,1),$E218&gt;TODAY())),"Ngày sinh không hợp lệ",""),IF(AND($G218&lt;&gt;"",OR(ISERROR(SEARCH("@",$G218)),ISERROR(SEARCH(".",$G218)))),"Email cá nhân không hợp lệ",""),IF(AND($H218&lt;&gt;"",OR(ISERROR(SEARCH("@",$H218)),ISERROR(SEARCH(".",$H218)))),"Email công ty không hợp lệ",""),IF(AND($I218&lt;&gt;"",OR(LEN($I218)&lt;9,LEN($I218)&gt;15,NOT(ISNUMBER(--$I218)))),"Số điện thoại không hợp lệ","")))</f>
        <v/>
      </c>
      <c r="C218" s="20" t="n"/>
      <c r="D218" s="21" t="n"/>
      <c r="E218" s="22" t="n"/>
      <c r="F218" s="21" t="n"/>
      <c r="G218" s="21" t="n"/>
      <c r="H218" s="21" t="n"/>
      <c r="I218" s="20" t="n"/>
      <c r="J218" s="21" t="n"/>
      <c r="K218" s="21" t="n"/>
    </row>
    <row r="219">
      <c r="A219" s="19">
        <f>IF($C219="","CHƯA NHẬP",IF($B219="","HỢP LỆ","LỖI"))</f>
        <v/>
      </c>
      <c r="B219" s="19">
        <f>IF($C219="","",TEXTJOIN(" | ",TRUE,IF($C219="","Thiếu mã nhân viên",""),IF(COUNTIF($C$6:$C$505,$C219)&gt;1,"Trùng mã nhân viên",""),IF($D219="","Thiếu họ tên",""),IF(AND($E219&lt;&gt;"",OR(NOT(ISNUMBER($E219)),$E219&lt;DATE(1940,1,1),$E219&gt;TODAY())),"Ngày sinh không hợp lệ",""),IF(AND($G219&lt;&gt;"",OR(ISERROR(SEARCH("@",$G219)),ISERROR(SEARCH(".",$G219)))),"Email cá nhân không hợp lệ",""),IF(AND($H219&lt;&gt;"",OR(ISERROR(SEARCH("@",$H219)),ISERROR(SEARCH(".",$H219)))),"Email công ty không hợp lệ",""),IF(AND($I219&lt;&gt;"",OR(LEN($I219)&lt;9,LEN($I219)&gt;15,NOT(ISNUMBER(--$I219)))),"Số điện thoại không hợp lệ","")))</f>
        <v/>
      </c>
      <c r="C219" s="20" t="n"/>
      <c r="D219" s="21" t="n"/>
      <c r="E219" s="22" t="n"/>
      <c r="F219" s="21" t="n"/>
      <c r="G219" s="21" t="n"/>
      <c r="H219" s="21" t="n"/>
      <c r="I219" s="20" t="n"/>
      <c r="J219" s="21" t="n"/>
      <c r="K219" s="21" t="n"/>
    </row>
    <row r="220">
      <c r="A220" s="19">
        <f>IF($C220="","CHƯA NHẬP",IF($B220="","HỢP LỆ","LỖI"))</f>
        <v/>
      </c>
      <c r="B220" s="19">
        <f>IF($C220="","",TEXTJOIN(" | ",TRUE,IF($C220="","Thiếu mã nhân viên",""),IF(COUNTIF($C$6:$C$505,$C220)&gt;1,"Trùng mã nhân viên",""),IF($D220="","Thiếu họ tên",""),IF(AND($E220&lt;&gt;"",OR(NOT(ISNUMBER($E220)),$E220&lt;DATE(1940,1,1),$E220&gt;TODAY())),"Ngày sinh không hợp lệ",""),IF(AND($G220&lt;&gt;"",OR(ISERROR(SEARCH("@",$G220)),ISERROR(SEARCH(".",$G220)))),"Email cá nhân không hợp lệ",""),IF(AND($H220&lt;&gt;"",OR(ISERROR(SEARCH("@",$H220)),ISERROR(SEARCH(".",$H220)))),"Email công ty không hợp lệ",""),IF(AND($I220&lt;&gt;"",OR(LEN($I220)&lt;9,LEN($I220)&gt;15,NOT(ISNUMBER(--$I220)))),"Số điện thoại không hợp lệ","")))</f>
        <v/>
      </c>
      <c r="C220" s="20" t="n"/>
      <c r="D220" s="21" t="n"/>
      <c r="E220" s="22" t="n"/>
      <c r="F220" s="21" t="n"/>
      <c r="G220" s="21" t="n"/>
      <c r="H220" s="21" t="n"/>
      <c r="I220" s="20" t="n"/>
      <c r="J220" s="21" t="n"/>
      <c r="K220" s="21" t="n"/>
    </row>
    <row r="221">
      <c r="A221" s="19">
        <f>IF($C221="","CHƯA NHẬP",IF($B221="","HỢP LỆ","LỖI"))</f>
        <v/>
      </c>
      <c r="B221" s="19">
        <f>IF($C221="","",TEXTJOIN(" | ",TRUE,IF($C221="","Thiếu mã nhân viên",""),IF(COUNTIF($C$6:$C$505,$C221)&gt;1,"Trùng mã nhân viên",""),IF($D221="","Thiếu họ tên",""),IF(AND($E221&lt;&gt;"",OR(NOT(ISNUMBER($E221)),$E221&lt;DATE(1940,1,1),$E221&gt;TODAY())),"Ngày sinh không hợp lệ",""),IF(AND($G221&lt;&gt;"",OR(ISERROR(SEARCH("@",$G221)),ISERROR(SEARCH(".",$G221)))),"Email cá nhân không hợp lệ",""),IF(AND($H221&lt;&gt;"",OR(ISERROR(SEARCH("@",$H221)),ISERROR(SEARCH(".",$H221)))),"Email công ty không hợp lệ",""),IF(AND($I221&lt;&gt;"",OR(LEN($I221)&lt;9,LEN($I221)&gt;15,NOT(ISNUMBER(--$I221)))),"Số điện thoại không hợp lệ","")))</f>
        <v/>
      </c>
      <c r="C221" s="20" t="n"/>
      <c r="D221" s="21" t="n"/>
      <c r="E221" s="22" t="n"/>
      <c r="F221" s="21" t="n"/>
      <c r="G221" s="21" t="n"/>
      <c r="H221" s="21" t="n"/>
      <c r="I221" s="20" t="n"/>
      <c r="J221" s="21" t="n"/>
      <c r="K221" s="21" t="n"/>
    </row>
    <row r="222">
      <c r="A222" s="19">
        <f>IF($C222="","CHƯA NHẬP",IF($B222="","HỢP LỆ","LỖI"))</f>
        <v/>
      </c>
      <c r="B222" s="19">
        <f>IF($C222="","",TEXTJOIN(" | ",TRUE,IF($C222="","Thiếu mã nhân viên",""),IF(COUNTIF($C$6:$C$505,$C222)&gt;1,"Trùng mã nhân viên",""),IF($D222="","Thiếu họ tên",""),IF(AND($E222&lt;&gt;"",OR(NOT(ISNUMBER($E222)),$E222&lt;DATE(1940,1,1),$E222&gt;TODAY())),"Ngày sinh không hợp lệ",""),IF(AND($G222&lt;&gt;"",OR(ISERROR(SEARCH("@",$G222)),ISERROR(SEARCH(".",$G222)))),"Email cá nhân không hợp lệ",""),IF(AND($H222&lt;&gt;"",OR(ISERROR(SEARCH("@",$H222)),ISERROR(SEARCH(".",$H222)))),"Email công ty không hợp lệ",""),IF(AND($I222&lt;&gt;"",OR(LEN($I222)&lt;9,LEN($I222)&gt;15,NOT(ISNUMBER(--$I222)))),"Số điện thoại không hợp lệ","")))</f>
        <v/>
      </c>
      <c r="C222" s="20" t="n"/>
      <c r="D222" s="21" t="n"/>
      <c r="E222" s="22" t="n"/>
      <c r="F222" s="21" t="n"/>
      <c r="G222" s="21" t="n"/>
      <c r="H222" s="21" t="n"/>
      <c r="I222" s="20" t="n"/>
      <c r="J222" s="21" t="n"/>
      <c r="K222" s="21" t="n"/>
    </row>
    <row r="223">
      <c r="A223" s="19">
        <f>IF($C223="","CHƯA NHẬP",IF($B223="","HỢP LỆ","LỖI"))</f>
        <v/>
      </c>
      <c r="B223" s="19">
        <f>IF($C223="","",TEXTJOIN(" | ",TRUE,IF($C223="","Thiếu mã nhân viên",""),IF(COUNTIF($C$6:$C$505,$C223)&gt;1,"Trùng mã nhân viên",""),IF($D223="","Thiếu họ tên",""),IF(AND($E223&lt;&gt;"",OR(NOT(ISNUMBER($E223)),$E223&lt;DATE(1940,1,1),$E223&gt;TODAY())),"Ngày sinh không hợp lệ",""),IF(AND($G223&lt;&gt;"",OR(ISERROR(SEARCH("@",$G223)),ISERROR(SEARCH(".",$G223)))),"Email cá nhân không hợp lệ",""),IF(AND($H223&lt;&gt;"",OR(ISERROR(SEARCH("@",$H223)),ISERROR(SEARCH(".",$H223)))),"Email công ty không hợp lệ",""),IF(AND($I223&lt;&gt;"",OR(LEN($I223)&lt;9,LEN($I223)&gt;15,NOT(ISNUMBER(--$I223)))),"Số điện thoại không hợp lệ","")))</f>
        <v/>
      </c>
      <c r="C223" s="20" t="n"/>
      <c r="D223" s="21" t="n"/>
      <c r="E223" s="22" t="n"/>
      <c r="F223" s="21" t="n"/>
      <c r="G223" s="21" t="n"/>
      <c r="H223" s="21" t="n"/>
      <c r="I223" s="20" t="n"/>
      <c r="J223" s="21" t="n"/>
      <c r="K223" s="21" t="n"/>
    </row>
    <row r="224">
      <c r="A224" s="19">
        <f>IF($C224="","CHƯA NHẬP",IF($B224="","HỢP LỆ","LỖI"))</f>
        <v/>
      </c>
      <c r="B224" s="19">
        <f>IF($C224="","",TEXTJOIN(" | ",TRUE,IF($C224="","Thiếu mã nhân viên",""),IF(COUNTIF($C$6:$C$505,$C224)&gt;1,"Trùng mã nhân viên",""),IF($D224="","Thiếu họ tên",""),IF(AND($E224&lt;&gt;"",OR(NOT(ISNUMBER($E224)),$E224&lt;DATE(1940,1,1),$E224&gt;TODAY())),"Ngày sinh không hợp lệ",""),IF(AND($G224&lt;&gt;"",OR(ISERROR(SEARCH("@",$G224)),ISERROR(SEARCH(".",$G224)))),"Email cá nhân không hợp lệ",""),IF(AND($H224&lt;&gt;"",OR(ISERROR(SEARCH("@",$H224)),ISERROR(SEARCH(".",$H224)))),"Email công ty không hợp lệ",""),IF(AND($I224&lt;&gt;"",OR(LEN($I224)&lt;9,LEN($I224)&gt;15,NOT(ISNUMBER(--$I224)))),"Số điện thoại không hợp lệ","")))</f>
        <v/>
      </c>
      <c r="C224" s="20" t="n"/>
      <c r="D224" s="21" t="n"/>
      <c r="E224" s="22" t="n"/>
      <c r="F224" s="21" t="n"/>
      <c r="G224" s="21" t="n"/>
      <c r="H224" s="21" t="n"/>
      <c r="I224" s="20" t="n"/>
      <c r="J224" s="21" t="n"/>
      <c r="K224" s="21" t="n"/>
    </row>
    <row r="225">
      <c r="A225" s="19">
        <f>IF($C225="","CHƯA NHẬP",IF($B225="","HỢP LỆ","LỖI"))</f>
        <v/>
      </c>
      <c r="B225" s="19">
        <f>IF($C225="","",TEXTJOIN(" | ",TRUE,IF($C225="","Thiếu mã nhân viên",""),IF(COUNTIF($C$6:$C$505,$C225)&gt;1,"Trùng mã nhân viên",""),IF($D225="","Thiếu họ tên",""),IF(AND($E225&lt;&gt;"",OR(NOT(ISNUMBER($E225)),$E225&lt;DATE(1940,1,1),$E225&gt;TODAY())),"Ngày sinh không hợp lệ",""),IF(AND($G225&lt;&gt;"",OR(ISERROR(SEARCH("@",$G225)),ISERROR(SEARCH(".",$G225)))),"Email cá nhân không hợp lệ",""),IF(AND($H225&lt;&gt;"",OR(ISERROR(SEARCH("@",$H225)),ISERROR(SEARCH(".",$H225)))),"Email công ty không hợp lệ",""),IF(AND($I225&lt;&gt;"",OR(LEN($I225)&lt;9,LEN($I225)&gt;15,NOT(ISNUMBER(--$I225)))),"Số điện thoại không hợp lệ","")))</f>
        <v/>
      </c>
      <c r="C225" s="20" t="n"/>
      <c r="D225" s="21" t="n"/>
      <c r="E225" s="22" t="n"/>
      <c r="F225" s="21" t="n"/>
      <c r="G225" s="21" t="n"/>
      <c r="H225" s="21" t="n"/>
      <c r="I225" s="20" t="n"/>
      <c r="J225" s="21" t="n"/>
      <c r="K225" s="21" t="n"/>
    </row>
    <row r="226">
      <c r="A226" s="19">
        <f>IF($C226="","CHƯA NHẬP",IF($B226="","HỢP LỆ","LỖI"))</f>
        <v/>
      </c>
      <c r="B226" s="19">
        <f>IF($C226="","",TEXTJOIN(" | ",TRUE,IF($C226="","Thiếu mã nhân viên",""),IF(COUNTIF($C$6:$C$505,$C226)&gt;1,"Trùng mã nhân viên",""),IF($D226="","Thiếu họ tên",""),IF(AND($E226&lt;&gt;"",OR(NOT(ISNUMBER($E226)),$E226&lt;DATE(1940,1,1),$E226&gt;TODAY())),"Ngày sinh không hợp lệ",""),IF(AND($G226&lt;&gt;"",OR(ISERROR(SEARCH("@",$G226)),ISERROR(SEARCH(".",$G226)))),"Email cá nhân không hợp lệ",""),IF(AND($H226&lt;&gt;"",OR(ISERROR(SEARCH("@",$H226)),ISERROR(SEARCH(".",$H226)))),"Email công ty không hợp lệ",""),IF(AND($I226&lt;&gt;"",OR(LEN($I226)&lt;9,LEN($I226)&gt;15,NOT(ISNUMBER(--$I226)))),"Số điện thoại không hợp lệ","")))</f>
        <v/>
      </c>
      <c r="C226" s="20" t="n"/>
      <c r="D226" s="21" t="n"/>
      <c r="E226" s="22" t="n"/>
      <c r="F226" s="21" t="n"/>
      <c r="G226" s="21" t="n"/>
      <c r="H226" s="21" t="n"/>
      <c r="I226" s="20" t="n"/>
      <c r="J226" s="21" t="n"/>
      <c r="K226" s="21" t="n"/>
    </row>
    <row r="227">
      <c r="A227" s="19">
        <f>IF($C227="","CHƯA NHẬP",IF($B227="","HỢP LỆ","LỖI"))</f>
        <v/>
      </c>
      <c r="B227" s="19">
        <f>IF($C227="","",TEXTJOIN(" | ",TRUE,IF($C227="","Thiếu mã nhân viên",""),IF(COUNTIF($C$6:$C$505,$C227)&gt;1,"Trùng mã nhân viên",""),IF($D227="","Thiếu họ tên",""),IF(AND($E227&lt;&gt;"",OR(NOT(ISNUMBER($E227)),$E227&lt;DATE(1940,1,1),$E227&gt;TODAY())),"Ngày sinh không hợp lệ",""),IF(AND($G227&lt;&gt;"",OR(ISERROR(SEARCH("@",$G227)),ISERROR(SEARCH(".",$G227)))),"Email cá nhân không hợp lệ",""),IF(AND($H227&lt;&gt;"",OR(ISERROR(SEARCH("@",$H227)),ISERROR(SEARCH(".",$H227)))),"Email công ty không hợp lệ",""),IF(AND($I227&lt;&gt;"",OR(LEN($I227)&lt;9,LEN($I227)&gt;15,NOT(ISNUMBER(--$I227)))),"Số điện thoại không hợp lệ","")))</f>
        <v/>
      </c>
      <c r="C227" s="20" t="n"/>
      <c r="D227" s="21" t="n"/>
      <c r="E227" s="22" t="n"/>
      <c r="F227" s="21" t="n"/>
      <c r="G227" s="21" t="n"/>
      <c r="H227" s="21" t="n"/>
      <c r="I227" s="20" t="n"/>
      <c r="J227" s="21" t="n"/>
      <c r="K227" s="21" t="n"/>
    </row>
    <row r="228">
      <c r="A228" s="19">
        <f>IF($C228="","CHƯA NHẬP",IF($B228="","HỢP LỆ","LỖI"))</f>
        <v/>
      </c>
      <c r="B228" s="19">
        <f>IF($C228="","",TEXTJOIN(" | ",TRUE,IF($C228="","Thiếu mã nhân viên",""),IF(COUNTIF($C$6:$C$505,$C228)&gt;1,"Trùng mã nhân viên",""),IF($D228="","Thiếu họ tên",""),IF(AND($E228&lt;&gt;"",OR(NOT(ISNUMBER($E228)),$E228&lt;DATE(1940,1,1),$E228&gt;TODAY())),"Ngày sinh không hợp lệ",""),IF(AND($G228&lt;&gt;"",OR(ISERROR(SEARCH("@",$G228)),ISERROR(SEARCH(".",$G228)))),"Email cá nhân không hợp lệ",""),IF(AND($H228&lt;&gt;"",OR(ISERROR(SEARCH("@",$H228)),ISERROR(SEARCH(".",$H228)))),"Email công ty không hợp lệ",""),IF(AND($I228&lt;&gt;"",OR(LEN($I228)&lt;9,LEN($I228)&gt;15,NOT(ISNUMBER(--$I228)))),"Số điện thoại không hợp lệ","")))</f>
        <v/>
      </c>
      <c r="C228" s="20" t="n"/>
      <c r="D228" s="21" t="n"/>
      <c r="E228" s="22" t="n"/>
      <c r="F228" s="21" t="n"/>
      <c r="G228" s="21" t="n"/>
      <c r="H228" s="21" t="n"/>
      <c r="I228" s="20" t="n"/>
      <c r="J228" s="21" t="n"/>
      <c r="K228" s="21" t="n"/>
    </row>
    <row r="229">
      <c r="A229" s="19">
        <f>IF($C229="","CHƯA NHẬP",IF($B229="","HỢP LỆ","LỖI"))</f>
        <v/>
      </c>
      <c r="B229" s="19">
        <f>IF($C229="","",TEXTJOIN(" | ",TRUE,IF($C229="","Thiếu mã nhân viên",""),IF(COUNTIF($C$6:$C$505,$C229)&gt;1,"Trùng mã nhân viên",""),IF($D229="","Thiếu họ tên",""),IF(AND($E229&lt;&gt;"",OR(NOT(ISNUMBER($E229)),$E229&lt;DATE(1940,1,1),$E229&gt;TODAY())),"Ngày sinh không hợp lệ",""),IF(AND($G229&lt;&gt;"",OR(ISERROR(SEARCH("@",$G229)),ISERROR(SEARCH(".",$G229)))),"Email cá nhân không hợp lệ",""),IF(AND($H229&lt;&gt;"",OR(ISERROR(SEARCH("@",$H229)),ISERROR(SEARCH(".",$H229)))),"Email công ty không hợp lệ",""),IF(AND($I229&lt;&gt;"",OR(LEN($I229)&lt;9,LEN($I229)&gt;15,NOT(ISNUMBER(--$I229)))),"Số điện thoại không hợp lệ","")))</f>
        <v/>
      </c>
      <c r="C229" s="20" t="n"/>
      <c r="D229" s="21" t="n"/>
      <c r="E229" s="22" t="n"/>
      <c r="F229" s="21" t="n"/>
      <c r="G229" s="21" t="n"/>
      <c r="H229" s="21" t="n"/>
      <c r="I229" s="20" t="n"/>
      <c r="J229" s="21" t="n"/>
      <c r="K229" s="21" t="n"/>
    </row>
    <row r="230">
      <c r="A230" s="19">
        <f>IF($C230="","CHƯA NHẬP",IF($B230="","HỢP LỆ","LỖI"))</f>
        <v/>
      </c>
      <c r="B230" s="19">
        <f>IF($C230="","",TEXTJOIN(" | ",TRUE,IF($C230="","Thiếu mã nhân viên",""),IF(COUNTIF($C$6:$C$505,$C230)&gt;1,"Trùng mã nhân viên",""),IF($D230="","Thiếu họ tên",""),IF(AND($E230&lt;&gt;"",OR(NOT(ISNUMBER($E230)),$E230&lt;DATE(1940,1,1),$E230&gt;TODAY())),"Ngày sinh không hợp lệ",""),IF(AND($G230&lt;&gt;"",OR(ISERROR(SEARCH("@",$G230)),ISERROR(SEARCH(".",$G230)))),"Email cá nhân không hợp lệ",""),IF(AND($H230&lt;&gt;"",OR(ISERROR(SEARCH("@",$H230)),ISERROR(SEARCH(".",$H230)))),"Email công ty không hợp lệ",""),IF(AND($I230&lt;&gt;"",OR(LEN($I230)&lt;9,LEN($I230)&gt;15,NOT(ISNUMBER(--$I230)))),"Số điện thoại không hợp lệ","")))</f>
        <v/>
      </c>
      <c r="C230" s="20" t="n"/>
      <c r="D230" s="21" t="n"/>
      <c r="E230" s="22" t="n"/>
      <c r="F230" s="21" t="n"/>
      <c r="G230" s="21" t="n"/>
      <c r="H230" s="21" t="n"/>
      <c r="I230" s="20" t="n"/>
      <c r="J230" s="21" t="n"/>
      <c r="K230" s="21" t="n"/>
    </row>
    <row r="231">
      <c r="A231" s="19">
        <f>IF($C231="","CHƯA NHẬP",IF($B231="","HỢP LỆ","LỖI"))</f>
        <v/>
      </c>
      <c r="B231" s="19">
        <f>IF($C231="","",TEXTJOIN(" | ",TRUE,IF($C231="","Thiếu mã nhân viên",""),IF(COUNTIF($C$6:$C$505,$C231)&gt;1,"Trùng mã nhân viên",""),IF($D231="","Thiếu họ tên",""),IF(AND($E231&lt;&gt;"",OR(NOT(ISNUMBER($E231)),$E231&lt;DATE(1940,1,1),$E231&gt;TODAY())),"Ngày sinh không hợp lệ",""),IF(AND($G231&lt;&gt;"",OR(ISERROR(SEARCH("@",$G231)),ISERROR(SEARCH(".",$G231)))),"Email cá nhân không hợp lệ",""),IF(AND($H231&lt;&gt;"",OR(ISERROR(SEARCH("@",$H231)),ISERROR(SEARCH(".",$H231)))),"Email công ty không hợp lệ",""),IF(AND($I231&lt;&gt;"",OR(LEN($I231)&lt;9,LEN($I231)&gt;15,NOT(ISNUMBER(--$I231)))),"Số điện thoại không hợp lệ","")))</f>
        <v/>
      </c>
      <c r="C231" s="20" t="n"/>
      <c r="D231" s="21" t="n"/>
      <c r="E231" s="22" t="n"/>
      <c r="F231" s="21" t="n"/>
      <c r="G231" s="21" t="n"/>
      <c r="H231" s="21" t="n"/>
      <c r="I231" s="20" t="n"/>
      <c r="J231" s="21" t="n"/>
      <c r="K231" s="21" t="n"/>
    </row>
    <row r="232">
      <c r="A232" s="19">
        <f>IF($C232="","CHƯA NHẬP",IF($B232="","HỢP LỆ","LỖI"))</f>
        <v/>
      </c>
      <c r="B232" s="19">
        <f>IF($C232="","",TEXTJOIN(" | ",TRUE,IF($C232="","Thiếu mã nhân viên",""),IF(COUNTIF($C$6:$C$505,$C232)&gt;1,"Trùng mã nhân viên",""),IF($D232="","Thiếu họ tên",""),IF(AND($E232&lt;&gt;"",OR(NOT(ISNUMBER($E232)),$E232&lt;DATE(1940,1,1),$E232&gt;TODAY())),"Ngày sinh không hợp lệ",""),IF(AND($G232&lt;&gt;"",OR(ISERROR(SEARCH("@",$G232)),ISERROR(SEARCH(".",$G232)))),"Email cá nhân không hợp lệ",""),IF(AND($H232&lt;&gt;"",OR(ISERROR(SEARCH("@",$H232)),ISERROR(SEARCH(".",$H232)))),"Email công ty không hợp lệ",""),IF(AND($I232&lt;&gt;"",OR(LEN($I232)&lt;9,LEN($I232)&gt;15,NOT(ISNUMBER(--$I232)))),"Số điện thoại không hợp lệ","")))</f>
        <v/>
      </c>
      <c r="C232" s="20" t="n"/>
      <c r="D232" s="21" t="n"/>
      <c r="E232" s="22" t="n"/>
      <c r="F232" s="21" t="n"/>
      <c r="G232" s="21" t="n"/>
      <c r="H232" s="21" t="n"/>
      <c r="I232" s="20" t="n"/>
      <c r="J232" s="21" t="n"/>
      <c r="K232" s="21" t="n"/>
    </row>
    <row r="233">
      <c r="A233" s="19">
        <f>IF($C233="","CHƯA NHẬP",IF($B233="","HỢP LỆ","LỖI"))</f>
        <v/>
      </c>
      <c r="B233" s="19">
        <f>IF($C233="","",TEXTJOIN(" | ",TRUE,IF($C233="","Thiếu mã nhân viên",""),IF(COUNTIF($C$6:$C$505,$C233)&gt;1,"Trùng mã nhân viên",""),IF($D233="","Thiếu họ tên",""),IF(AND($E233&lt;&gt;"",OR(NOT(ISNUMBER($E233)),$E233&lt;DATE(1940,1,1),$E233&gt;TODAY())),"Ngày sinh không hợp lệ",""),IF(AND($G233&lt;&gt;"",OR(ISERROR(SEARCH("@",$G233)),ISERROR(SEARCH(".",$G233)))),"Email cá nhân không hợp lệ",""),IF(AND($H233&lt;&gt;"",OR(ISERROR(SEARCH("@",$H233)),ISERROR(SEARCH(".",$H233)))),"Email công ty không hợp lệ",""),IF(AND($I233&lt;&gt;"",OR(LEN($I233)&lt;9,LEN($I233)&gt;15,NOT(ISNUMBER(--$I233)))),"Số điện thoại không hợp lệ","")))</f>
        <v/>
      </c>
      <c r="C233" s="20" t="n"/>
      <c r="D233" s="21" t="n"/>
      <c r="E233" s="22" t="n"/>
      <c r="F233" s="21" t="n"/>
      <c r="G233" s="21" t="n"/>
      <c r="H233" s="21" t="n"/>
      <c r="I233" s="20" t="n"/>
      <c r="J233" s="21" t="n"/>
      <c r="K233" s="21" t="n"/>
    </row>
    <row r="234">
      <c r="A234" s="19">
        <f>IF($C234="","CHƯA NHẬP",IF($B234="","HỢP LỆ","LỖI"))</f>
        <v/>
      </c>
      <c r="B234" s="19">
        <f>IF($C234="","",TEXTJOIN(" | ",TRUE,IF($C234="","Thiếu mã nhân viên",""),IF(COUNTIF($C$6:$C$505,$C234)&gt;1,"Trùng mã nhân viên",""),IF($D234="","Thiếu họ tên",""),IF(AND($E234&lt;&gt;"",OR(NOT(ISNUMBER($E234)),$E234&lt;DATE(1940,1,1),$E234&gt;TODAY())),"Ngày sinh không hợp lệ",""),IF(AND($G234&lt;&gt;"",OR(ISERROR(SEARCH("@",$G234)),ISERROR(SEARCH(".",$G234)))),"Email cá nhân không hợp lệ",""),IF(AND($H234&lt;&gt;"",OR(ISERROR(SEARCH("@",$H234)),ISERROR(SEARCH(".",$H234)))),"Email công ty không hợp lệ",""),IF(AND($I234&lt;&gt;"",OR(LEN($I234)&lt;9,LEN($I234)&gt;15,NOT(ISNUMBER(--$I234)))),"Số điện thoại không hợp lệ","")))</f>
        <v/>
      </c>
      <c r="C234" s="20" t="n"/>
      <c r="D234" s="21" t="n"/>
      <c r="E234" s="22" t="n"/>
      <c r="F234" s="21" t="n"/>
      <c r="G234" s="21" t="n"/>
      <c r="H234" s="21" t="n"/>
      <c r="I234" s="20" t="n"/>
      <c r="J234" s="21" t="n"/>
      <c r="K234" s="21" t="n"/>
    </row>
    <row r="235">
      <c r="A235" s="19">
        <f>IF($C235="","CHƯA NHẬP",IF($B235="","HỢP LỆ","LỖI"))</f>
        <v/>
      </c>
      <c r="B235" s="19">
        <f>IF($C235="","",TEXTJOIN(" | ",TRUE,IF($C235="","Thiếu mã nhân viên",""),IF(COUNTIF($C$6:$C$505,$C235)&gt;1,"Trùng mã nhân viên",""),IF($D235="","Thiếu họ tên",""),IF(AND($E235&lt;&gt;"",OR(NOT(ISNUMBER($E235)),$E235&lt;DATE(1940,1,1),$E235&gt;TODAY())),"Ngày sinh không hợp lệ",""),IF(AND($G235&lt;&gt;"",OR(ISERROR(SEARCH("@",$G235)),ISERROR(SEARCH(".",$G235)))),"Email cá nhân không hợp lệ",""),IF(AND($H235&lt;&gt;"",OR(ISERROR(SEARCH("@",$H235)),ISERROR(SEARCH(".",$H235)))),"Email công ty không hợp lệ",""),IF(AND($I235&lt;&gt;"",OR(LEN($I235)&lt;9,LEN($I235)&gt;15,NOT(ISNUMBER(--$I235)))),"Số điện thoại không hợp lệ","")))</f>
        <v/>
      </c>
      <c r="C235" s="20" t="n"/>
      <c r="D235" s="21" t="n"/>
      <c r="E235" s="22" t="n"/>
      <c r="F235" s="21" t="n"/>
      <c r="G235" s="21" t="n"/>
      <c r="H235" s="21" t="n"/>
      <c r="I235" s="20" t="n"/>
      <c r="J235" s="21" t="n"/>
      <c r="K235" s="21" t="n"/>
    </row>
    <row r="236">
      <c r="A236" s="19">
        <f>IF($C236="","CHƯA NHẬP",IF($B236="","HỢP LỆ","LỖI"))</f>
        <v/>
      </c>
      <c r="B236" s="19">
        <f>IF($C236="","",TEXTJOIN(" | ",TRUE,IF($C236="","Thiếu mã nhân viên",""),IF(COUNTIF($C$6:$C$505,$C236)&gt;1,"Trùng mã nhân viên",""),IF($D236="","Thiếu họ tên",""),IF(AND($E236&lt;&gt;"",OR(NOT(ISNUMBER($E236)),$E236&lt;DATE(1940,1,1),$E236&gt;TODAY())),"Ngày sinh không hợp lệ",""),IF(AND($G236&lt;&gt;"",OR(ISERROR(SEARCH("@",$G236)),ISERROR(SEARCH(".",$G236)))),"Email cá nhân không hợp lệ",""),IF(AND($H236&lt;&gt;"",OR(ISERROR(SEARCH("@",$H236)),ISERROR(SEARCH(".",$H236)))),"Email công ty không hợp lệ",""),IF(AND($I236&lt;&gt;"",OR(LEN($I236)&lt;9,LEN($I236)&gt;15,NOT(ISNUMBER(--$I236)))),"Số điện thoại không hợp lệ","")))</f>
        <v/>
      </c>
      <c r="C236" s="20" t="n"/>
      <c r="D236" s="21" t="n"/>
      <c r="E236" s="22" t="n"/>
      <c r="F236" s="21" t="n"/>
      <c r="G236" s="21" t="n"/>
      <c r="H236" s="21" t="n"/>
      <c r="I236" s="20" t="n"/>
      <c r="J236" s="21" t="n"/>
      <c r="K236" s="21" t="n"/>
    </row>
    <row r="237">
      <c r="A237" s="19">
        <f>IF($C237="","CHƯA NHẬP",IF($B237="","HỢP LỆ","LỖI"))</f>
        <v/>
      </c>
      <c r="B237" s="19">
        <f>IF($C237="","",TEXTJOIN(" | ",TRUE,IF($C237="","Thiếu mã nhân viên",""),IF(COUNTIF($C$6:$C$505,$C237)&gt;1,"Trùng mã nhân viên",""),IF($D237="","Thiếu họ tên",""),IF(AND($E237&lt;&gt;"",OR(NOT(ISNUMBER($E237)),$E237&lt;DATE(1940,1,1),$E237&gt;TODAY())),"Ngày sinh không hợp lệ",""),IF(AND($G237&lt;&gt;"",OR(ISERROR(SEARCH("@",$G237)),ISERROR(SEARCH(".",$G237)))),"Email cá nhân không hợp lệ",""),IF(AND($H237&lt;&gt;"",OR(ISERROR(SEARCH("@",$H237)),ISERROR(SEARCH(".",$H237)))),"Email công ty không hợp lệ",""),IF(AND($I237&lt;&gt;"",OR(LEN($I237)&lt;9,LEN($I237)&gt;15,NOT(ISNUMBER(--$I237)))),"Số điện thoại không hợp lệ","")))</f>
        <v/>
      </c>
      <c r="C237" s="20" t="n"/>
      <c r="D237" s="21" t="n"/>
      <c r="E237" s="22" t="n"/>
      <c r="F237" s="21" t="n"/>
      <c r="G237" s="21" t="n"/>
      <c r="H237" s="21" t="n"/>
      <c r="I237" s="20" t="n"/>
      <c r="J237" s="21" t="n"/>
      <c r="K237" s="21" t="n"/>
    </row>
    <row r="238">
      <c r="A238" s="19">
        <f>IF($C238="","CHƯA NHẬP",IF($B238="","HỢP LỆ","LỖI"))</f>
        <v/>
      </c>
      <c r="B238" s="19">
        <f>IF($C238="","",TEXTJOIN(" | ",TRUE,IF($C238="","Thiếu mã nhân viên",""),IF(COUNTIF($C$6:$C$505,$C238)&gt;1,"Trùng mã nhân viên",""),IF($D238="","Thiếu họ tên",""),IF(AND($E238&lt;&gt;"",OR(NOT(ISNUMBER($E238)),$E238&lt;DATE(1940,1,1),$E238&gt;TODAY())),"Ngày sinh không hợp lệ",""),IF(AND($G238&lt;&gt;"",OR(ISERROR(SEARCH("@",$G238)),ISERROR(SEARCH(".",$G238)))),"Email cá nhân không hợp lệ",""),IF(AND($H238&lt;&gt;"",OR(ISERROR(SEARCH("@",$H238)),ISERROR(SEARCH(".",$H238)))),"Email công ty không hợp lệ",""),IF(AND($I238&lt;&gt;"",OR(LEN($I238)&lt;9,LEN($I238)&gt;15,NOT(ISNUMBER(--$I238)))),"Số điện thoại không hợp lệ","")))</f>
        <v/>
      </c>
      <c r="C238" s="20" t="n"/>
      <c r="D238" s="21" t="n"/>
      <c r="E238" s="22" t="n"/>
      <c r="F238" s="21" t="n"/>
      <c r="G238" s="21" t="n"/>
      <c r="H238" s="21" t="n"/>
      <c r="I238" s="20" t="n"/>
      <c r="J238" s="21" t="n"/>
      <c r="K238" s="21" t="n"/>
    </row>
    <row r="239">
      <c r="A239" s="19">
        <f>IF($C239="","CHƯA NHẬP",IF($B239="","HỢP LỆ","LỖI"))</f>
        <v/>
      </c>
      <c r="B239" s="19">
        <f>IF($C239="","",TEXTJOIN(" | ",TRUE,IF($C239="","Thiếu mã nhân viên",""),IF(COUNTIF($C$6:$C$505,$C239)&gt;1,"Trùng mã nhân viên",""),IF($D239="","Thiếu họ tên",""),IF(AND($E239&lt;&gt;"",OR(NOT(ISNUMBER($E239)),$E239&lt;DATE(1940,1,1),$E239&gt;TODAY())),"Ngày sinh không hợp lệ",""),IF(AND($G239&lt;&gt;"",OR(ISERROR(SEARCH("@",$G239)),ISERROR(SEARCH(".",$G239)))),"Email cá nhân không hợp lệ",""),IF(AND($H239&lt;&gt;"",OR(ISERROR(SEARCH("@",$H239)),ISERROR(SEARCH(".",$H239)))),"Email công ty không hợp lệ",""),IF(AND($I239&lt;&gt;"",OR(LEN($I239)&lt;9,LEN($I239)&gt;15,NOT(ISNUMBER(--$I239)))),"Số điện thoại không hợp lệ","")))</f>
        <v/>
      </c>
      <c r="C239" s="20" t="n"/>
      <c r="D239" s="21" t="n"/>
      <c r="E239" s="22" t="n"/>
      <c r="F239" s="21" t="n"/>
      <c r="G239" s="21" t="n"/>
      <c r="H239" s="21" t="n"/>
      <c r="I239" s="20" t="n"/>
      <c r="J239" s="21" t="n"/>
      <c r="K239" s="21" t="n"/>
    </row>
    <row r="240">
      <c r="A240" s="19">
        <f>IF($C240="","CHƯA NHẬP",IF($B240="","HỢP LỆ","LỖI"))</f>
        <v/>
      </c>
      <c r="B240" s="19">
        <f>IF($C240="","",TEXTJOIN(" | ",TRUE,IF($C240="","Thiếu mã nhân viên",""),IF(COUNTIF($C$6:$C$505,$C240)&gt;1,"Trùng mã nhân viên",""),IF($D240="","Thiếu họ tên",""),IF(AND($E240&lt;&gt;"",OR(NOT(ISNUMBER($E240)),$E240&lt;DATE(1940,1,1),$E240&gt;TODAY())),"Ngày sinh không hợp lệ",""),IF(AND($G240&lt;&gt;"",OR(ISERROR(SEARCH("@",$G240)),ISERROR(SEARCH(".",$G240)))),"Email cá nhân không hợp lệ",""),IF(AND($H240&lt;&gt;"",OR(ISERROR(SEARCH("@",$H240)),ISERROR(SEARCH(".",$H240)))),"Email công ty không hợp lệ",""),IF(AND($I240&lt;&gt;"",OR(LEN($I240)&lt;9,LEN($I240)&gt;15,NOT(ISNUMBER(--$I240)))),"Số điện thoại không hợp lệ","")))</f>
        <v/>
      </c>
      <c r="C240" s="20" t="n"/>
      <c r="D240" s="21" t="n"/>
      <c r="E240" s="22" t="n"/>
      <c r="F240" s="21" t="n"/>
      <c r="G240" s="21" t="n"/>
      <c r="H240" s="21" t="n"/>
      <c r="I240" s="20" t="n"/>
      <c r="J240" s="21" t="n"/>
      <c r="K240" s="21" t="n"/>
    </row>
    <row r="241">
      <c r="A241" s="19">
        <f>IF($C241="","CHƯA NHẬP",IF($B241="","HỢP LỆ","LỖI"))</f>
        <v/>
      </c>
      <c r="B241" s="19">
        <f>IF($C241="","",TEXTJOIN(" | ",TRUE,IF($C241="","Thiếu mã nhân viên",""),IF(COUNTIF($C$6:$C$505,$C241)&gt;1,"Trùng mã nhân viên",""),IF($D241="","Thiếu họ tên",""),IF(AND($E241&lt;&gt;"",OR(NOT(ISNUMBER($E241)),$E241&lt;DATE(1940,1,1),$E241&gt;TODAY())),"Ngày sinh không hợp lệ",""),IF(AND($G241&lt;&gt;"",OR(ISERROR(SEARCH("@",$G241)),ISERROR(SEARCH(".",$G241)))),"Email cá nhân không hợp lệ",""),IF(AND($H241&lt;&gt;"",OR(ISERROR(SEARCH("@",$H241)),ISERROR(SEARCH(".",$H241)))),"Email công ty không hợp lệ",""),IF(AND($I241&lt;&gt;"",OR(LEN($I241)&lt;9,LEN($I241)&gt;15,NOT(ISNUMBER(--$I241)))),"Số điện thoại không hợp lệ","")))</f>
        <v/>
      </c>
      <c r="C241" s="20" t="n"/>
      <c r="D241" s="21" t="n"/>
      <c r="E241" s="22" t="n"/>
      <c r="F241" s="21" t="n"/>
      <c r="G241" s="21" t="n"/>
      <c r="H241" s="21" t="n"/>
      <c r="I241" s="20" t="n"/>
      <c r="J241" s="21" t="n"/>
      <c r="K241" s="21" t="n"/>
    </row>
    <row r="242">
      <c r="A242" s="19">
        <f>IF($C242="","CHƯA NHẬP",IF($B242="","HỢP LỆ","LỖI"))</f>
        <v/>
      </c>
      <c r="B242" s="19">
        <f>IF($C242="","",TEXTJOIN(" | ",TRUE,IF($C242="","Thiếu mã nhân viên",""),IF(COUNTIF($C$6:$C$505,$C242)&gt;1,"Trùng mã nhân viên",""),IF($D242="","Thiếu họ tên",""),IF(AND($E242&lt;&gt;"",OR(NOT(ISNUMBER($E242)),$E242&lt;DATE(1940,1,1),$E242&gt;TODAY())),"Ngày sinh không hợp lệ",""),IF(AND($G242&lt;&gt;"",OR(ISERROR(SEARCH("@",$G242)),ISERROR(SEARCH(".",$G242)))),"Email cá nhân không hợp lệ",""),IF(AND($H242&lt;&gt;"",OR(ISERROR(SEARCH("@",$H242)),ISERROR(SEARCH(".",$H242)))),"Email công ty không hợp lệ",""),IF(AND($I242&lt;&gt;"",OR(LEN($I242)&lt;9,LEN($I242)&gt;15,NOT(ISNUMBER(--$I242)))),"Số điện thoại không hợp lệ","")))</f>
        <v/>
      </c>
      <c r="C242" s="20" t="n"/>
      <c r="D242" s="21" t="n"/>
      <c r="E242" s="22" t="n"/>
      <c r="F242" s="21" t="n"/>
      <c r="G242" s="21" t="n"/>
      <c r="H242" s="21" t="n"/>
      <c r="I242" s="20" t="n"/>
      <c r="J242" s="21" t="n"/>
      <c r="K242" s="21" t="n"/>
    </row>
    <row r="243">
      <c r="A243" s="19">
        <f>IF($C243="","CHƯA NHẬP",IF($B243="","HỢP LỆ","LỖI"))</f>
        <v/>
      </c>
      <c r="B243" s="19">
        <f>IF($C243="","",TEXTJOIN(" | ",TRUE,IF($C243="","Thiếu mã nhân viên",""),IF(COUNTIF($C$6:$C$505,$C243)&gt;1,"Trùng mã nhân viên",""),IF($D243="","Thiếu họ tên",""),IF(AND($E243&lt;&gt;"",OR(NOT(ISNUMBER($E243)),$E243&lt;DATE(1940,1,1),$E243&gt;TODAY())),"Ngày sinh không hợp lệ",""),IF(AND($G243&lt;&gt;"",OR(ISERROR(SEARCH("@",$G243)),ISERROR(SEARCH(".",$G243)))),"Email cá nhân không hợp lệ",""),IF(AND($H243&lt;&gt;"",OR(ISERROR(SEARCH("@",$H243)),ISERROR(SEARCH(".",$H243)))),"Email công ty không hợp lệ",""),IF(AND($I243&lt;&gt;"",OR(LEN($I243)&lt;9,LEN($I243)&gt;15,NOT(ISNUMBER(--$I243)))),"Số điện thoại không hợp lệ","")))</f>
        <v/>
      </c>
      <c r="C243" s="20" t="n"/>
      <c r="D243" s="21" t="n"/>
      <c r="E243" s="22" t="n"/>
      <c r="F243" s="21" t="n"/>
      <c r="G243" s="21" t="n"/>
      <c r="H243" s="21" t="n"/>
      <c r="I243" s="20" t="n"/>
      <c r="J243" s="21" t="n"/>
      <c r="K243" s="21" t="n"/>
    </row>
    <row r="244">
      <c r="A244" s="19">
        <f>IF($C244="","CHƯA NHẬP",IF($B244="","HỢP LỆ","LỖI"))</f>
        <v/>
      </c>
      <c r="B244" s="19">
        <f>IF($C244="","",TEXTJOIN(" | ",TRUE,IF($C244="","Thiếu mã nhân viên",""),IF(COUNTIF($C$6:$C$505,$C244)&gt;1,"Trùng mã nhân viên",""),IF($D244="","Thiếu họ tên",""),IF(AND($E244&lt;&gt;"",OR(NOT(ISNUMBER($E244)),$E244&lt;DATE(1940,1,1),$E244&gt;TODAY())),"Ngày sinh không hợp lệ",""),IF(AND($G244&lt;&gt;"",OR(ISERROR(SEARCH("@",$G244)),ISERROR(SEARCH(".",$G244)))),"Email cá nhân không hợp lệ",""),IF(AND($H244&lt;&gt;"",OR(ISERROR(SEARCH("@",$H244)),ISERROR(SEARCH(".",$H244)))),"Email công ty không hợp lệ",""),IF(AND($I244&lt;&gt;"",OR(LEN($I244)&lt;9,LEN($I244)&gt;15,NOT(ISNUMBER(--$I244)))),"Số điện thoại không hợp lệ","")))</f>
        <v/>
      </c>
      <c r="C244" s="20" t="n"/>
      <c r="D244" s="21" t="n"/>
      <c r="E244" s="22" t="n"/>
      <c r="F244" s="21" t="n"/>
      <c r="G244" s="21" t="n"/>
      <c r="H244" s="21" t="n"/>
      <c r="I244" s="20" t="n"/>
      <c r="J244" s="21" t="n"/>
      <c r="K244" s="21" t="n"/>
    </row>
    <row r="245">
      <c r="A245" s="19">
        <f>IF($C245="","CHƯA NHẬP",IF($B245="","HỢP LỆ","LỖI"))</f>
        <v/>
      </c>
      <c r="B245" s="19">
        <f>IF($C245="","",TEXTJOIN(" | ",TRUE,IF($C245="","Thiếu mã nhân viên",""),IF(COUNTIF($C$6:$C$505,$C245)&gt;1,"Trùng mã nhân viên",""),IF($D245="","Thiếu họ tên",""),IF(AND($E245&lt;&gt;"",OR(NOT(ISNUMBER($E245)),$E245&lt;DATE(1940,1,1),$E245&gt;TODAY())),"Ngày sinh không hợp lệ",""),IF(AND($G245&lt;&gt;"",OR(ISERROR(SEARCH("@",$G245)),ISERROR(SEARCH(".",$G245)))),"Email cá nhân không hợp lệ",""),IF(AND($H245&lt;&gt;"",OR(ISERROR(SEARCH("@",$H245)),ISERROR(SEARCH(".",$H245)))),"Email công ty không hợp lệ",""),IF(AND($I245&lt;&gt;"",OR(LEN($I245)&lt;9,LEN($I245)&gt;15,NOT(ISNUMBER(--$I245)))),"Số điện thoại không hợp lệ","")))</f>
        <v/>
      </c>
      <c r="C245" s="20" t="n"/>
      <c r="D245" s="21" t="n"/>
      <c r="E245" s="22" t="n"/>
      <c r="F245" s="21" t="n"/>
      <c r="G245" s="21" t="n"/>
      <c r="H245" s="21" t="n"/>
      <c r="I245" s="20" t="n"/>
      <c r="J245" s="21" t="n"/>
      <c r="K245" s="21" t="n"/>
    </row>
    <row r="246">
      <c r="A246" s="19">
        <f>IF($C246="","CHƯA NHẬP",IF($B246="","HỢP LỆ","LỖI"))</f>
        <v/>
      </c>
      <c r="B246" s="19">
        <f>IF($C246="","",TEXTJOIN(" | ",TRUE,IF($C246="","Thiếu mã nhân viên",""),IF(COUNTIF($C$6:$C$505,$C246)&gt;1,"Trùng mã nhân viên",""),IF($D246="","Thiếu họ tên",""),IF(AND($E246&lt;&gt;"",OR(NOT(ISNUMBER($E246)),$E246&lt;DATE(1940,1,1),$E246&gt;TODAY())),"Ngày sinh không hợp lệ",""),IF(AND($G246&lt;&gt;"",OR(ISERROR(SEARCH("@",$G246)),ISERROR(SEARCH(".",$G246)))),"Email cá nhân không hợp lệ",""),IF(AND($H246&lt;&gt;"",OR(ISERROR(SEARCH("@",$H246)),ISERROR(SEARCH(".",$H246)))),"Email công ty không hợp lệ",""),IF(AND($I246&lt;&gt;"",OR(LEN($I246)&lt;9,LEN($I246)&gt;15,NOT(ISNUMBER(--$I246)))),"Số điện thoại không hợp lệ","")))</f>
        <v/>
      </c>
      <c r="C246" s="20" t="n"/>
      <c r="D246" s="21" t="n"/>
      <c r="E246" s="22" t="n"/>
      <c r="F246" s="21" t="n"/>
      <c r="G246" s="21" t="n"/>
      <c r="H246" s="21" t="n"/>
      <c r="I246" s="20" t="n"/>
      <c r="J246" s="21" t="n"/>
      <c r="K246" s="21" t="n"/>
    </row>
    <row r="247">
      <c r="A247" s="19">
        <f>IF($C247="","CHƯA NHẬP",IF($B247="","HỢP LỆ","LỖI"))</f>
        <v/>
      </c>
      <c r="B247" s="19">
        <f>IF($C247="","",TEXTJOIN(" | ",TRUE,IF($C247="","Thiếu mã nhân viên",""),IF(COUNTIF($C$6:$C$505,$C247)&gt;1,"Trùng mã nhân viên",""),IF($D247="","Thiếu họ tên",""),IF(AND($E247&lt;&gt;"",OR(NOT(ISNUMBER($E247)),$E247&lt;DATE(1940,1,1),$E247&gt;TODAY())),"Ngày sinh không hợp lệ",""),IF(AND($G247&lt;&gt;"",OR(ISERROR(SEARCH("@",$G247)),ISERROR(SEARCH(".",$G247)))),"Email cá nhân không hợp lệ",""),IF(AND($H247&lt;&gt;"",OR(ISERROR(SEARCH("@",$H247)),ISERROR(SEARCH(".",$H247)))),"Email công ty không hợp lệ",""),IF(AND($I247&lt;&gt;"",OR(LEN($I247)&lt;9,LEN($I247)&gt;15,NOT(ISNUMBER(--$I247)))),"Số điện thoại không hợp lệ","")))</f>
        <v/>
      </c>
      <c r="C247" s="20" t="n"/>
      <c r="D247" s="21" t="n"/>
      <c r="E247" s="22" t="n"/>
      <c r="F247" s="21" t="n"/>
      <c r="G247" s="21" t="n"/>
      <c r="H247" s="21" t="n"/>
      <c r="I247" s="20" t="n"/>
      <c r="J247" s="21" t="n"/>
      <c r="K247" s="21" t="n"/>
    </row>
    <row r="248">
      <c r="A248" s="19">
        <f>IF($C248="","CHƯA NHẬP",IF($B248="","HỢP LỆ","LỖI"))</f>
        <v/>
      </c>
      <c r="B248" s="19">
        <f>IF($C248="","",TEXTJOIN(" | ",TRUE,IF($C248="","Thiếu mã nhân viên",""),IF(COUNTIF($C$6:$C$505,$C248)&gt;1,"Trùng mã nhân viên",""),IF($D248="","Thiếu họ tên",""),IF(AND($E248&lt;&gt;"",OR(NOT(ISNUMBER($E248)),$E248&lt;DATE(1940,1,1),$E248&gt;TODAY())),"Ngày sinh không hợp lệ",""),IF(AND($G248&lt;&gt;"",OR(ISERROR(SEARCH("@",$G248)),ISERROR(SEARCH(".",$G248)))),"Email cá nhân không hợp lệ",""),IF(AND($H248&lt;&gt;"",OR(ISERROR(SEARCH("@",$H248)),ISERROR(SEARCH(".",$H248)))),"Email công ty không hợp lệ",""),IF(AND($I248&lt;&gt;"",OR(LEN($I248)&lt;9,LEN($I248)&gt;15,NOT(ISNUMBER(--$I248)))),"Số điện thoại không hợp lệ","")))</f>
        <v/>
      </c>
      <c r="C248" s="20" t="n"/>
      <c r="D248" s="21" t="n"/>
      <c r="E248" s="22" t="n"/>
      <c r="F248" s="21" t="n"/>
      <c r="G248" s="21" t="n"/>
      <c r="H248" s="21" t="n"/>
      <c r="I248" s="20" t="n"/>
      <c r="J248" s="21" t="n"/>
      <c r="K248" s="21" t="n"/>
    </row>
    <row r="249">
      <c r="A249" s="19">
        <f>IF($C249="","CHƯA NHẬP",IF($B249="","HỢP LỆ","LỖI"))</f>
        <v/>
      </c>
      <c r="B249" s="19">
        <f>IF($C249="","",TEXTJOIN(" | ",TRUE,IF($C249="","Thiếu mã nhân viên",""),IF(COUNTIF($C$6:$C$505,$C249)&gt;1,"Trùng mã nhân viên",""),IF($D249="","Thiếu họ tên",""),IF(AND($E249&lt;&gt;"",OR(NOT(ISNUMBER($E249)),$E249&lt;DATE(1940,1,1),$E249&gt;TODAY())),"Ngày sinh không hợp lệ",""),IF(AND($G249&lt;&gt;"",OR(ISERROR(SEARCH("@",$G249)),ISERROR(SEARCH(".",$G249)))),"Email cá nhân không hợp lệ",""),IF(AND($H249&lt;&gt;"",OR(ISERROR(SEARCH("@",$H249)),ISERROR(SEARCH(".",$H249)))),"Email công ty không hợp lệ",""),IF(AND($I249&lt;&gt;"",OR(LEN($I249)&lt;9,LEN($I249)&gt;15,NOT(ISNUMBER(--$I249)))),"Số điện thoại không hợp lệ","")))</f>
        <v/>
      </c>
      <c r="C249" s="20" t="n"/>
      <c r="D249" s="21" t="n"/>
      <c r="E249" s="22" t="n"/>
      <c r="F249" s="21" t="n"/>
      <c r="G249" s="21" t="n"/>
      <c r="H249" s="21" t="n"/>
      <c r="I249" s="20" t="n"/>
      <c r="J249" s="21" t="n"/>
      <c r="K249" s="21" t="n"/>
    </row>
    <row r="250">
      <c r="A250" s="19">
        <f>IF($C250="","CHƯA NHẬP",IF($B250="","HỢP LỆ","LỖI"))</f>
        <v/>
      </c>
      <c r="B250" s="19">
        <f>IF($C250="","",TEXTJOIN(" | ",TRUE,IF($C250="","Thiếu mã nhân viên",""),IF(COUNTIF($C$6:$C$505,$C250)&gt;1,"Trùng mã nhân viên",""),IF($D250="","Thiếu họ tên",""),IF(AND($E250&lt;&gt;"",OR(NOT(ISNUMBER($E250)),$E250&lt;DATE(1940,1,1),$E250&gt;TODAY())),"Ngày sinh không hợp lệ",""),IF(AND($G250&lt;&gt;"",OR(ISERROR(SEARCH("@",$G250)),ISERROR(SEARCH(".",$G250)))),"Email cá nhân không hợp lệ",""),IF(AND($H250&lt;&gt;"",OR(ISERROR(SEARCH("@",$H250)),ISERROR(SEARCH(".",$H250)))),"Email công ty không hợp lệ",""),IF(AND($I250&lt;&gt;"",OR(LEN($I250)&lt;9,LEN($I250)&gt;15,NOT(ISNUMBER(--$I250)))),"Số điện thoại không hợp lệ","")))</f>
        <v/>
      </c>
      <c r="C250" s="20" t="n"/>
      <c r="D250" s="21" t="n"/>
      <c r="E250" s="22" t="n"/>
      <c r="F250" s="21" t="n"/>
      <c r="G250" s="21" t="n"/>
      <c r="H250" s="21" t="n"/>
      <c r="I250" s="20" t="n"/>
      <c r="J250" s="21" t="n"/>
      <c r="K250" s="21" t="n"/>
    </row>
    <row r="251">
      <c r="A251" s="19">
        <f>IF($C251="","CHƯA NHẬP",IF($B251="","HỢP LỆ","LỖI"))</f>
        <v/>
      </c>
      <c r="B251" s="19">
        <f>IF($C251="","",TEXTJOIN(" | ",TRUE,IF($C251="","Thiếu mã nhân viên",""),IF(COUNTIF($C$6:$C$505,$C251)&gt;1,"Trùng mã nhân viên",""),IF($D251="","Thiếu họ tên",""),IF(AND($E251&lt;&gt;"",OR(NOT(ISNUMBER($E251)),$E251&lt;DATE(1940,1,1),$E251&gt;TODAY())),"Ngày sinh không hợp lệ",""),IF(AND($G251&lt;&gt;"",OR(ISERROR(SEARCH("@",$G251)),ISERROR(SEARCH(".",$G251)))),"Email cá nhân không hợp lệ",""),IF(AND($H251&lt;&gt;"",OR(ISERROR(SEARCH("@",$H251)),ISERROR(SEARCH(".",$H251)))),"Email công ty không hợp lệ",""),IF(AND($I251&lt;&gt;"",OR(LEN($I251)&lt;9,LEN($I251)&gt;15,NOT(ISNUMBER(--$I251)))),"Số điện thoại không hợp lệ","")))</f>
        <v/>
      </c>
      <c r="C251" s="20" t="n"/>
      <c r="D251" s="21" t="n"/>
      <c r="E251" s="22" t="n"/>
      <c r="F251" s="21" t="n"/>
      <c r="G251" s="21" t="n"/>
      <c r="H251" s="21" t="n"/>
      <c r="I251" s="20" t="n"/>
      <c r="J251" s="21" t="n"/>
      <c r="K251" s="21" t="n"/>
    </row>
    <row r="252">
      <c r="A252" s="19">
        <f>IF($C252="","CHƯA NHẬP",IF($B252="","HỢP LỆ","LỖI"))</f>
        <v/>
      </c>
      <c r="B252" s="19">
        <f>IF($C252="","",TEXTJOIN(" | ",TRUE,IF($C252="","Thiếu mã nhân viên",""),IF(COUNTIF($C$6:$C$505,$C252)&gt;1,"Trùng mã nhân viên",""),IF($D252="","Thiếu họ tên",""),IF(AND($E252&lt;&gt;"",OR(NOT(ISNUMBER($E252)),$E252&lt;DATE(1940,1,1),$E252&gt;TODAY())),"Ngày sinh không hợp lệ",""),IF(AND($G252&lt;&gt;"",OR(ISERROR(SEARCH("@",$G252)),ISERROR(SEARCH(".",$G252)))),"Email cá nhân không hợp lệ",""),IF(AND($H252&lt;&gt;"",OR(ISERROR(SEARCH("@",$H252)),ISERROR(SEARCH(".",$H252)))),"Email công ty không hợp lệ",""),IF(AND($I252&lt;&gt;"",OR(LEN($I252)&lt;9,LEN($I252)&gt;15,NOT(ISNUMBER(--$I252)))),"Số điện thoại không hợp lệ","")))</f>
        <v/>
      </c>
      <c r="C252" s="20" t="n"/>
      <c r="D252" s="21" t="n"/>
      <c r="E252" s="22" t="n"/>
      <c r="F252" s="21" t="n"/>
      <c r="G252" s="21" t="n"/>
      <c r="H252" s="21" t="n"/>
      <c r="I252" s="20" t="n"/>
      <c r="J252" s="21" t="n"/>
      <c r="K252" s="21" t="n"/>
    </row>
    <row r="253">
      <c r="A253" s="19">
        <f>IF($C253="","CHƯA NHẬP",IF($B253="","HỢP LỆ","LỖI"))</f>
        <v/>
      </c>
      <c r="B253" s="19">
        <f>IF($C253="","",TEXTJOIN(" | ",TRUE,IF($C253="","Thiếu mã nhân viên",""),IF(COUNTIF($C$6:$C$505,$C253)&gt;1,"Trùng mã nhân viên",""),IF($D253="","Thiếu họ tên",""),IF(AND($E253&lt;&gt;"",OR(NOT(ISNUMBER($E253)),$E253&lt;DATE(1940,1,1),$E253&gt;TODAY())),"Ngày sinh không hợp lệ",""),IF(AND($G253&lt;&gt;"",OR(ISERROR(SEARCH("@",$G253)),ISERROR(SEARCH(".",$G253)))),"Email cá nhân không hợp lệ",""),IF(AND($H253&lt;&gt;"",OR(ISERROR(SEARCH("@",$H253)),ISERROR(SEARCH(".",$H253)))),"Email công ty không hợp lệ",""),IF(AND($I253&lt;&gt;"",OR(LEN($I253)&lt;9,LEN($I253)&gt;15,NOT(ISNUMBER(--$I253)))),"Số điện thoại không hợp lệ","")))</f>
        <v/>
      </c>
      <c r="C253" s="20" t="n"/>
      <c r="D253" s="21" t="n"/>
      <c r="E253" s="22" t="n"/>
      <c r="F253" s="21" t="n"/>
      <c r="G253" s="21" t="n"/>
      <c r="H253" s="21" t="n"/>
      <c r="I253" s="20" t="n"/>
      <c r="J253" s="21" t="n"/>
      <c r="K253" s="21" t="n"/>
    </row>
    <row r="254">
      <c r="A254" s="19">
        <f>IF($C254="","CHƯA NHẬP",IF($B254="","HỢP LỆ","LỖI"))</f>
        <v/>
      </c>
      <c r="B254" s="19">
        <f>IF($C254="","",TEXTJOIN(" | ",TRUE,IF($C254="","Thiếu mã nhân viên",""),IF(COUNTIF($C$6:$C$505,$C254)&gt;1,"Trùng mã nhân viên",""),IF($D254="","Thiếu họ tên",""),IF(AND($E254&lt;&gt;"",OR(NOT(ISNUMBER($E254)),$E254&lt;DATE(1940,1,1),$E254&gt;TODAY())),"Ngày sinh không hợp lệ",""),IF(AND($G254&lt;&gt;"",OR(ISERROR(SEARCH("@",$G254)),ISERROR(SEARCH(".",$G254)))),"Email cá nhân không hợp lệ",""),IF(AND($H254&lt;&gt;"",OR(ISERROR(SEARCH("@",$H254)),ISERROR(SEARCH(".",$H254)))),"Email công ty không hợp lệ",""),IF(AND($I254&lt;&gt;"",OR(LEN($I254)&lt;9,LEN($I254)&gt;15,NOT(ISNUMBER(--$I254)))),"Số điện thoại không hợp lệ","")))</f>
        <v/>
      </c>
      <c r="C254" s="20" t="n"/>
      <c r="D254" s="21" t="n"/>
      <c r="E254" s="22" t="n"/>
      <c r="F254" s="21" t="n"/>
      <c r="G254" s="21" t="n"/>
      <c r="H254" s="21" t="n"/>
      <c r="I254" s="20" t="n"/>
      <c r="J254" s="21" t="n"/>
      <c r="K254" s="21" t="n"/>
    </row>
    <row r="255">
      <c r="A255" s="19">
        <f>IF($C255="","CHƯA NHẬP",IF($B255="","HỢP LỆ","LỖI"))</f>
        <v/>
      </c>
      <c r="B255" s="19">
        <f>IF($C255="","",TEXTJOIN(" | ",TRUE,IF($C255="","Thiếu mã nhân viên",""),IF(COUNTIF($C$6:$C$505,$C255)&gt;1,"Trùng mã nhân viên",""),IF($D255="","Thiếu họ tên",""),IF(AND($E255&lt;&gt;"",OR(NOT(ISNUMBER($E255)),$E255&lt;DATE(1940,1,1),$E255&gt;TODAY())),"Ngày sinh không hợp lệ",""),IF(AND($G255&lt;&gt;"",OR(ISERROR(SEARCH("@",$G255)),ISERROR(SEARCH(".",$G255)))),"Email cá nhân không hợp lệ",""),IF(AND($H255&lt;&gt;"",OR(ISERROR(SEARCH("@",$H255)),ISERROR(SEARCH(".",$H255)))),"Email công ty không hợp lệ",""),IF(AND($I255&lt;&gt;"",OR(LEN($I255)&lt;9,LEN($I255)&gt;15,NOT(ISNUMBER(--$I255)))),"Số điện thoại không hợp lệ","")))</f>
        <v/>
      </c>
      <c r="C255" s="20" t="n"/>
      <c r="D255" s="21" t="n"/>
      <c r="E255" s="22" t="n"/>
      <c r="F255" s="21" t="n"/>
      <c r="G255" s="21" t="n"/>
      <c r="H255" s="21" t="n"/>
      <c r="I255" s="20" t="n"/>
      <c r="J255" s="21" t="n"/>
      <c r="K255" s="21" t="n"/>
    </row>
    <row r="256">
      <c r="A256" s="19">
        <f>IF($C256="","CHƯA NHẬP",IF($B256="","HỢP LỆ","LỖI"))</f>
        <v/>
      </c>
      <c r="B256" s="19">
        <f>IF($C256="","",TEXTJOIN(" | ",TRUE,IF($C256="","Thiếu mã nhân viên",""),IF(COUNTIF($C$6:$C$505,$C256)&gt;1,"Trùng mã nhân viên",""),IF($D256="","Thiếu họ tên",""),IF(AND($E256&lt;&gt;"",OR(NOT(ISNUMBER($E256)),$E256&lt;DATE(1940,1,1),$E256&gt;TODAY())),"Ngày sinh không hợp lệ",""),IF(AND($G256&lt;&gt;"",OR(ISERROR(SEARCH("@",$G256)),ISERROR(SEARCH(".",$G256)))),"Email cá nhân không hợp lệ",""),IF(AND($H256&lt;&gt;"",OR(ISERROR(SEARCH("@",$H256)),ISERROR(SEARCH(".",$H256)))),"Email công ty không hợp lệ",""),IF(AND($I256&lt;&gt;"",OR(LEN($I256)&lt;9,LEN($I256)&gt;15,NOT(ISNUMBER(--$I256)))),"Số điện thoại không hợp lệ","")))</f>
        <v/>
      </c>
      <c r="C256" s="20" t="n"/>
      <c r="D256" s="21" t="n"/>
      <c r="E256" s="22" t="n"/>
      <c r="F256" s="21" t="n"/>
      <c r="G256" s="21" t="n"/>
      <c r="H256" s="21" t="n"/>
      <c r="I256" s="20" t="n"/>
      <c r="J256" s="21" t="n"/>
      <c r="K256" s="21" t="n"/>
    </row>
    <row r="257">
      <c r="A257" s="19">
        <f>IF($C257="","CHƯA NHẬP",IF($B257="","HỢP LỆ","LỖI"))</f>
        <v/>
      </c>
      <c r="B257" s="19">
        <f>IF($C257="","",TEXTJOIN(" | ",TRUE,IF($C257="","Thiếu mã nhân viên",""),IF(COUNTIF($C$6:$C$505,$C257)&gt;1,"Trùng mã nhân viên",""),IF($D257="","Thiếu họ tên",""),IF(AND($E257&lt;&gt;"",OR(NOT(ISNUMBER($E257)),$E257&lt;DATE(1940,1,1),$E257&gt;TODAY())),"Ngày sinh không hợp lệ",""),IF(AND($G257&lt;&gt;"",OR(ISERROR(SEARCH("@",$G257)),ISERROR(SEARCH(".",$G257)))),"Email cá nhân không hợp lệ",""),IF(AND($H257&lt;&gt;"",OR(ISERROR(SEARCH("@",$H257)),ISERROR(SEARCH(".",$H257)))),"Email công ty không hợp lệ",""),IF(AND($I257&lt;&gt;"",OR(LEN($I257)&lt;9,LEN($I257)&gt;15,NOT(ISNUMBER(--$I257)))),"Số điện thoại không hợp lệ","")))</f>
        <v/>
      </c>
      <c r="C257" s="20" t="n"/>
      <c r="D257" s="21" t="n"/>
      <c r="E257" s="22" t="n"/>
      <c r="F257" s="21" t="n"/>
      <c r="G257" s="21" t="n"/>
      <c r="H257" s="21" t="n"/>
      <c r="I257" s="20" t="n"/>
      <c r="J257" s="21" t="n"/>
      <c r="K257" s="21" t="n"/>
    </row>
    <row r="258">
      <c r="A258" s="19">
        <f>IF($C258="","CHƯA NHẬP",IF($B258="","HỢP LỆ","LỖI"))</f>
        <v/>
      </c>
      <c r="B258" s="19">
        <f>IF($C258="","",TEXTJOIN(" | ",TRUE,IF($C258="","Thiếu mã nhân viên",""),IF(COUNTIF($C$6:$C$505,$C258)&gt;1,"Trùng mã nhân viên",""),IF($D258="","Thiếu họ tên",""),IF(AND($E258&lt;&gt;"",OR(NOT(ISNUMBER($E258)),$E258&lt;DATE(1940,1,1),$E258&gt;TODAY())),"Ngày sinh không hợp lệ",""),IF(AND($G258&lt;&gt;"",OR(ISERROR(SEARCH("@",$G258)),ISERROR(SEARCH(".",$G258)))),"Email cá nhân không hợp lệ",""),IF(AND($H258&lt;&gt;"",OR(ISERROR(SEARCH("@",$H258)),ISERROR(SEARCH(".",$H258)))),"Email công ty không hợp lệ",""),IF(AND($I258&lt;&gt;"",OR(LEN($I258)&lt;9,LEN($I258)&gt;15,NOT(ISNUMBER(--$I258)))),"Số điện thoại không hợp lệ","")))</f>
        <v/>
      </c>
      <c r="C258" s="20" t="n"/>
      <c r="D258" s="21" t="n"/>
      <c r="E258" s="22" t="n"/>
      <c r="F258" s="21" t="n"/>
      <c r="G258" s="21" t="n"/>
      <c r="H258" s="21" t="n"/>
      <c r="I258" s="20" t="n"/>
      <c r="J258" s="21" t="n"/>
      <c r="K258" s="21" t="n"/>
    </row>
    <row r="259">
      <c r="A259" s="19">
        <f>IF($C259="","CHƯA NHẬP",IF($B259="","HỢP LỆ","LỖI"))</f>
        <v/>
      </c>
      <c r="B259" s="19">
        <f>IF($C259="","",TEXTJOIN(" | ",TRUE,IF($C259="","Thiếu mã nhân viên",""),IF(COUNTIF($C$6:$C$505,$C259)&gt;1,"Trùng mã nhân viên",""),IF($D259="","Thiếu họ tên",""),IF(AND($E259&lt;&gt;"",OR(NOT(ISNUMBER($E259)),$E259&lt;DATE(1940,1,1),$E259&gt;TODAY())),"Ngày sinh không hợp lệ",""),IF(AND($G259&lt;&gt;"",OR(ISERROR(SEARCH("@",$G259)),ISERROR(SEARCH(".",$G259)))),"Email cá nhân không hợp lệ",""),IF(AND($H259&lt;&gt;"",OR(ISERROR(SEARCH("@",$H259)),ISERROR(SEARCH(".",$H259)))),"Email công ty không hợp lệ",""),IF(AND($I259&lt;&gt;"",OR(LEN($I259)&lt;9,LEN($I259)&gt;15,NOT(ISNUMBER(--$I259)))),"Số điện thoại không hợp lệ","")))</f>
        <v/>
      </c>
      <c r="C259" s="20" t="n"/>
      <c r="D259" s="21" t="n"/>
      <c r="E259" s="22" t="n"/>
      <c r="F259" s="21" t="n"/>
      <c r="G259" s="21" t="n"/>
      <c r="H259" s="21" t="n"/>
      <c r="I259" s="20" t="n"/>
      <c r="J259" s="21" t="n"/>
      <c r="K259" s="21" t="n"/>
    </row>
    <row r="260">
      <c r="A260" s="19">
        <f>IF($C260="","CHƯA NHẬP",IF($B260="","HỢP LỆ","LỖI"))</f>
        <v/>
      </c>
      <c r="B260" s="19">
        <f>IF($C260="","",TEXTJOIN(" | ",TRUE,IF($C260="","Thiếu mã nhân viên",""),IF(COUNTIF($C$6:$C$505,$C260)&gt;1,"Trùng mã nhân viên",""),IF($D260="","Thiếu họ tên",""),IF(AND($E260&lt;&gt;"",OR(NOT(ISNUMBER($E260)),$E260&lt;DATE(1940,1,1),$E260&gt;TODAY())),"Ngày sinh không hợp lệ",""),IF(AND($G260&lt;&gt;"",OR(ISERROR(SEARCH("@",$G260)),ISERROR(SEARCH(".",$G260)))),"Email cá nhân không hợp lệ",""),IF(AND($H260&lt;&gt;"",OR(ISERROR(SEARCH("@",$H260)),ISERROR(SEARCH(".",$H260)))),"Email công ty không hợp lệ",""),IF(AND($I260&lt;&gt;"",OR(LEN($I260)&lt;9,LEN($I260)&gt;15,NOT(ISNUMBER(--$I260)))),"Số điện thoại không hợp lệ","")))</f>
        <v/>
      </c>
      <c r="C260" s="20" t="n"/>
      <c r="D260" s="21" t="n"/>
      <c r="E260" s="22" t="n"/>
      <c r="F260" s="21" t="n"/>
      <c r="G260" s="21" t="n"/>
      <c r="H260" s="21" t="n"/>
      <c r="I260" s="20" t="n"/>
      <c r="J260" s="21" t="n"/>
      <c r="K260" s="21" t="n"/>
    </row>
    <row r="261">
      <c r="A261" s="19">
        <f>IF($C261="","CHƯA NHẬP",IF($B261="","HỢP LỆ","LỖI"))</f>
        <v/>
      </c>
      <c r="B261" s="19">
        <f>IF($C261="","",TEXTJOIN(" | ",TRUE,IF($C261="","Thiếu mã nhân viên",""),IF(COUNTIF($C$6:$C$505,$C261)&gt;1,"Trùng mã nhân viên",""),IF($D261="","Thiếu họ tên",""),IF(AND($E261&lt;&gt;"",OR(NOT(ISNUMBER($E261)),$E261&lt;DATE(1940,1,1),$E261&gt;TODAY())),"Ngày sinh không hợp lệ",""),IF(AND($G261&lt;&gt;"",OR(ISERROR(SEARCH("@",$G261)),ISERROR(SEARCH(".",$G261)))),"Email cá nhân không hợp lệ",""),IF(AND($H261&lt;&gt;"",OR(ISERROR(SEARCH("@",$H261)),ISERROR(SEARCH(".",$H261)))),"Email công ty không hợp lệ",""),IF(AND($I261&lt;&gt;"",OR(LEN($I261)&lt;9,LEN($I261)&gt;15,NOT(ISNUMBER(--$I261)))),"Số điện thoại không hợp lệ","")))</f>
        <v/>
      </c>
      <c r="C261" s="20" t="n"/>
      <c r="D261" s="21" t="n"/>
      <c r="E261" s="22" t="n"/>
      <c r="F261" s="21" t="n"/>
      <c r="G261" s="21" t="n"/>
      <c r="H261" s="21" t="n"/>
      <c r="I261" s="20" t="n"/>
      <c r="J261" s="21" t="n"/>
      <c r="K261" s="21" t="n"/>
    </row>
    <row r="262">
      <c r="A262" s="19">
        <f>IF($C262="","CHƯA NHẬP",IF($B262="","HỢP LỆ","LỖI"))</f>
        <v/>
      </c>
      <c r="B262" s="19">
        <f>IF($C262="","",TEXTJOIN(" | ",TRUE,IF($C262="","Thiếu mã nhân viên",""),IF(COUNTIF($C$6:$C$505,$C262)&gt;1,"Trùng mã nhân viên",""),IF($D262="","Thiếu họ tên",""),IF(AND($E262&lt;&gt;"",OR(NOT(ISNUMBER($E262)),$E262&lt;DATE(1940,1,1),$E262&gt;TODAY())),"Ngày sinh không hợp lệ",""),IF(AND($G262&lt;&gt;"",OR(ISERROR(SEARCH("@",$G262)),ISERROR(SEARCH(".",$G262)))),"Email cá nhân không hợp lệ",""),IF(AND($H262&lt;&gt;"",OR(ISERROR(SEARCH("@",$H262)),ISERROR(SEARCH(".",$H262)))),"Email công ty không hợp lệ",""),IF(AND($I262&lt;&gt;"",OR(LEN($I262)&lt;9,LEN($I262)&gt;15,NOT(ISNUMBER(--$I262)))),"Số điện thoại không hợp lệ","")))</f>
        <v/>
      </c>
      <c r="C262" s="20" t="n"/>
      <c r="D262" s="21" t="n"/>
      <c r="E262" s="22" t="n"/>
      <c r="F262" s="21" t="n"/>
      <c r="G262" s="21" t="n"/>
      <c r="H262" s="21" t="n"/>
      <c r="I262" s="20" t="n"/>
      <c r="J262" s="21" t="n"/>
      <c r="K262" s="21" t="n"/>
    </row>
    <row r="263">
      <c r="A263" s="19">
        <f>IF($C263="","CHƯA NHẬP",IF($B263="","HỢP LỆ","LỖI"))</f>
        <v/>
      </c>
      <c r="B263" s="19">
        <f>IF($C263="","",TEXTJOIN(" | ",TRUE,IF($C263="","Thiếu mã nhân viên",""),IF(COUNTIF($C$6:$C$505,$C263)&gt;1,"Trùng mã nhân viên",""),IF($D263="","Thiếu họ tên",""),IF(AND($E263&lt;&gt;"",OR(NOT(ISNUMBER($E263)),$E263&lt;DATE(1940,1,1),$E263&gt;TODAY())),"Ngày sinh không hợp lệ",""),IF(AND($G263&lt;&gt;"",OR(ISERROR(SEARCH("@",$G263)),ISERROR(SEARCH(".",$G263)))),"Email cá nhân không hợp lệ",""),IF(AND($H263&lt;&gt;"",OR(ISERROR(SEARCH("@",$H263)),ISERROR(SEARCH(".",$H263)))),"Email công ty không hợp lệ",""),IF(AND($I263&lt;&gt;"",OR(LEN($I263)&lt;9,LEN($I263)&gt;15,NOT(ISNUMBER(--$I263)))),"Số điện thoại không hợp lệ","")))</f>
        <v/>
      </c>
      <c r="C263" s="20" t="n"/>
      <c r="D263" s="21" t="n"/>
      <c r="E263" s="22" t="n"/>
      <c r="F263" s="21" t="n"/>
      <c r="G263" s="21" t="n"/>
      <c r="H263" s="21" t="n"/>
      <c r="I263" s="20" t="n"/>
      <c r="J263" s="21" t="n"/>
      <c r="K263" s="21" t="n"/>
    </row>
    <row r="264">
      <c r="A264" s="19">
        <f>IF($C264="","CHƯA NHẬP",IF($B264="","HỢP LỆ","LỖI"))</f>
        <v/>
      </c>
      <c r="B264" s="19">
        <f>IF($C264="","",TEXTJOIN(" | ",TRUE,IF($C264="","Thiếu mã nhân viên",""),IF(COUNTIF($C$6:$C$505,$C264)&gt;1,"Trùng mã nhân viên",""),IF($D264="","Thiếu họ tên",""),IF(AND($E264&lt;&gt;"",OR(NOT(ISNUMBER($E264)),$E264&lt;DATE(1940,1,1),$E264&gt;TODAY())),"Ngày sinh không hợp lệ",""),IF(AND($G264&lt;&gt;"",OR(ISERROR(SEARCH("@",$G264)),ISERROR(SEARCH(".",$G264)))),"Email cá nhân không hợp lệ",""),IF(AND($H264&lt;&gt;"",OR(ISERROR(SEARCH("@",$H264)),ISERROR(SEARCH(".",$H264)))),"Email công ty không hợp lệ",""),IF(AND($I264&lt;&gt;"",OR(LEN($I264)&lt;9,LEN($I264)&gt;15,NOT(ISNUMBER(--$I264)))),"Số điện thoại không hợp lệ","")))</f>
        <v/>
      </c>
      <c r="C264" s="20" t="n"/>
      <c r="D264" s="21" t="n"/>
      <c r="E264" s="22" t="n"/>
      <c r="F264" s="21" t="n"/>
      <c r="G264" s="21" t="n"/>
      <c r="H264" s="21" t="n"/>
      <c r="I264" s="20" t="n"/>
      <c r="J264" s="21" t="n"/>
      <c r="K264" s="21" t="n"/>
    </row>
    <row r="265">
      <c r="A265" s="19">
        <f>IF($C265="","CHƯA NHẬP",IF($B265="","HỢP LỆ","LỖI"))</f>
        <v/>
      </c>
      <c r="B265" s="19">
        <f>IF($C265="","",TEXTJOIN(" | ",TRUE,IF($C265="","Thiếu mã nhân viên",""),IF(COUNTIF($C$6:$C$505,$C265)&gt;1,"Trùng mã nhân viên",""),IF($D265="","Thiếu họ tên",""),IF(AND($E265&lt;&gt;"",OR(NOT(ISNUMBER($E265)),$E265&lt;DATE(1940,1,1),$E265&gt;TODAY())),"Ngày sinh không hợp lệ",""),IF(AND($G265&lt;&gt;"",OR(ISERROR(SEARCH("@",$G265)),ISERROR(SEARCH(".",$G265)))),"Email cá nhân không hợp lệ",""),IF(AND($H265&lt;&gt;"",OR(ISERROR(SEARCH("@",$H265)),ISERROR(SEARCH(".",$H265)))),"Email công ty không hợp lệ",""),IF(AND($I265&lt;&gt;"",OR(LEN($I265)&lt;9,LEN($I265)&gt;15,NOT(ISNUMBER(--$I265)))),"Số điện thoại không hợp lệ","")))</f>
        <v/>
      </c>
      <c r="C265" s="20" t="n"/>
      <c r="D265" s="21" t="n"/>
      <c r="E265" s="22" t="n"/>
      <c r="F265" s="21" t="n"/>
      <c r="G265" s="21" t="n"/>
      <c r="H265" s="21" t="n"/>
      <c r="I265" s="20" t="n"/>
      <c r="J265" s="21" t="n"/>
      <c r="K265" s="21" t="n"/>
    </row>
    <row r="266">
      <c r="A266" s="19">
        <f>IF($C266="","CHƯA NHẬP",IF($B266="","HỢP LỆ","LỖI"))</f>
        <v/>
      </c>
      <c r="B266" s="19">
        <f>IF($C266="","",TEXTJOIN(" | ",TRUE,IF($C266="","Thiếu mã nhân viên",""),IF(COUNTIF($C$6:$C$505,$C266)&gt;1,"Trùng mã nhân viên",""),IF($D266="","Thiếu họ tên",""),IF(AND($E266&lt;&gt;"",OR(NOT(ISNUMBER($E266)),$E266&lt;DATE(1940,1,1),$E266&gt;TODAY())),"Ngày sinh không hợp lệ",""),IF(AND($G266&lt;&gt;"",OR(ISERROR(SEARCH("@",$G266)),ISERROR(SEARCH(".",$G266)))),"Email cá nhân không hợp lệ",""),IF(AND($H266&lt;&gt;"",OR(ISERROR(SEARCH("@",$H266)),ISERROR(SEARCH(".",$H266)))),"Email công ty không hợp lệ",""),IF(AND($I266&lt;&gt;"",OR(LEN($I266)&lt;9,LEN($I266)&gt;15,NOT(ISNUMBER(--$I266)))),"Số điện thoại không hợp lệ","")))</f>
        <v/>
      </c>
      <c r="C266" s="20" t="n"/>
      <c r="D266" s="21" t="n"/>
      <c r="E266" s="22" t="n"/>
      <c r="F266" s="21" t="n"/>
      <c r="G266" s="21" t="n"/>
      <c r="H266" s="21" t="n"/>
      <c r="I266" s="20" t="n"/>
      <c r="J266" s="21" t="n"/>
      <c r="K266" s="21" t="n"/>
    </row>
    <row r="267">
      <c r="A267" s="19">
        <f>IF($C267="","CHƯA NHẬP",IF($B267="","HỢP LỆ","LỖI"))</f>
        <v/>
      </c>
      <c r="B267" s="19">
        <f>IF($C267="","",TEXTJOIN(" | ",TRUE,IF($C267="","Thiếu mã nhân viên",""),IF(COUNTIF($C$6:$C$505,$C267)&gt;1,"Trùng mã nhân viên",""),IF($D267="","Thiếu họ tên",""),IF(AND($E267&lt;&gt;"",OR(NOT(ISNUMBER($E267)),$E267&lt;DATE(1940,1,1),$E267&gt;TODAY())),"Ngày sinh không hợp lệ",""),IF(AND($G267&lt;&gt;"",OR(ISERROR(SEARCH("@",$G267)),ISERROR(SEARCH(".",$G267)))),"Email cá nhân không hợp lệ",""),IF(AND($H267&lt;&gt;"",OR(ISERROR(SEARCH("@",$H267)),ISERROR(SEARCH(".",$H267)))),"Email công ty không hợp lệ",""),IF(AND($I267&lt;&gt;"",OR(LEN($I267)&lt;9,LEN($I267)&gt;15,NOT(ISNUMBER(--$I267)))),"Số điện thoại không hợp lệ","")))</f>
        <v/>
      </c>
      <c r="C267" s="20" t="n"/>
      <c r="D267" s="21" t="n"/>
      <c r="E267" s="22" t="n"/>
      <c r="F267" s="21" t="n"/>
      <c r="G267" s="21" t="n"/>
      <c r="H267" s="21" t="n"/>
      <c r="I267" s="20" t="n"/>
      <c r="J267" s="21" t="n"/>
      <c r="K267" s="21" t="n"/>
    </row>
    <row r="268">
      <c r="A268" s="19">
        <f>IF($C268="","CHƯA NHẬP",IF($B268="","HỢP LỆ","LỖI"))</f>
        <v/>
      </c>
      <c r="B268" s="19">
        <f>IF($C268="","",TEXTJOIN(" | ",TRUE,IF($C268="","Thiếu mã nhân viên",""),IF(COUNTIF($C$6:$C$505,$C268)&gt;1,"Trùng mã nhân viên",""),IF($D268="","Thiếu họ tên",""),IF(AND($E268&lt;&gt;"",OR(NOT(ISNUMBER($E268)),$E268&lt;DATE(1940,1,1),$E268&gt;TODAY())),"Ngày sinh không hợp lệ",""),IF(AND($G268&lt;&gt;"",OR(ISERROR(SEARCH("@",$G268)),ISERROR(SEARCH(".",$G268)))),"Email cá nhân không hợp lệ",""),IF(AND($H268&lt;&gt;"",OR(ISERROR(SEARCH("@",$H268)),ISERROR(SEARCH(".",$H268)))),"Email công ty không hợp lệ",""),IF(AND($I268&lt;&gt;"",OR(LEN($I268)&lt;9,LEN($I268)&gt;15,NOT(ISNUMBER(--$I268)))),"Số điện thoại không hợp lệ","")))</f>
        <v/>
      </c>
      <c r="C268" s="20" t="n"/>
      <c r="D268" s="21" t="n"/>
      <c r="E268" s="22" t="n"/>
      <c r="F268" s="21" t="n"/>
      <c r="G268" s="21" t="n"/>
      <c r="H268" s="21" t="n"/>
      <c r="I268" s="20" t="n"/>
      <c r="J268" s="21" t="n"/>
      <c r="K268" s="21" t="n"/>
    </row>
    <row r="269">
      <c r="A269" s="19">
        <f>IF($C269="","CHƯA NHẬP",IF($B269="","HỢP LỆ","LỖI"))</f>
        <v/>
      </c>
      <c r="B269" s="19">
        <f>IF($C269="","",TEXTJOIN(" | ",TRUE,IF($C269="","Thiếu mã nhân viên",""),IF(COUNTIF($C$6:$C$505,$C269)&gt;1,"Trùng mã nhân viên",""),IF($D269="","Thiếu họ tên",""),IF(AND($E269&lt;&gt;"",OR(NOT(ISNUMBER($E269)),$E269&lt;DATE(1940,1,1),$E269&gt;TODAY())),"Ngày sinh không hợp lệ",""),IF(AND($G269&lt;&gt;"",OR(ISERROR(SEARCH("@",$G269)),ISERROR(SEARCH(".",$G269)))),"Email cá nhân không hợp lệ",""),IF(AND($H269&lt;&gt;"",OR(ISERROR(SEARCH("@",$H269)),ISERROR(SEARCH(".",$H269)))),"Email công ty không hợp lệ",""),IF(AND($I269&lt;&gt;"",OR(LEN($I269)&lt;9,LEN($I269)&gt;15,NOT(ISNUMBER(--$I269)))),"Số điện thoại không hợp lệ","")))</f>
        <v/>
      </c>
      <c r="C269" s="20" t="n"/>
      <c r="D269" s="21" t="n"/>
      <c r="E269" s="22" t="n"/>
      <c r="F269" s="21" t="n"/>
      <c r="G269" s="21" t="n"/>
      <c r="H269" s="21" t="n"/>
      <c r="I269" s="20" t="n"/>
      <c r="J269" s="21" t="n"/>
      <c r="K269" s="21" t="n"/>
    </row>
    <row r="270">
      <c r="A270" s="19">
        <f>IF($C270="","CHƯA NHẬP",IF($B270="","HỢP LỆ","LỖI"))</f>
        <v/>
      </c>
      <c r="B270" s="19">
        <f>IF($C270="","",TEXTJOIN(" | ",TRUE,IF($C270="","Thiếu mã nhân viên",""),IF(COUNTIF($C$6:$C$505,$C270)&gt;1,"Trùng mã nhân viên",""),IF($D270="","Thiếu họ tên",""),IF(AND($E270&lt;&gt;"",OR(NOT(ISNUMBER($E270)),$E270&lt;DATE(1940,1,1),$E270&gt;TODAY())),"Ngày sinh không hợp lệ",""),IF(AND($G270&lt;&gt;"",OR(ISERROR(SEARCH("@",$G270)),ISERROR(SEARCH(".",$G270)))),"Email cá nhân không hợp lệ",""),IF(AND($H270&lt;&gt;"",OR(ISERROR(SEARCH("@",$H270)),ISERROR(SEARCH(".",$H270)))),"Email công ty không hợp lệ",""),IF(AND($I270&lt;&gt;"",OR(LEN($I270)&lt;9,LEN($I270)&gt;15,NOT(ISNUMBER(--$I270)))),"Số điện thoại không hợp lệ","")))</f>
        <v/>
      </c>
      <c r="C270" s="20" t="n"/>
      <c r="D270" s="21" t="n"/>
      <c r="E270" s="22" t="n"/>
      <c r="F270" s="21" t="n"/>
      <c r="G270" s="21" t="n"/>
      <c r="H270" s="21" t="n"/>
      <c r="I270" s="20" t="n"/>
      <c r="J270" s="21" t="n"/>
      <c r="K270" s="21" t="n"/>
    </row>
    <row r="271">
      <c r="A271" s="19">
        <f>IF($C271="","CHƯA NHẬP",IF($B271="","HỢP LỆ","LỖI"))</f>
        <v/>
      </c>
      <c r="B271" s="19">
        <f>IF($C271="","",TEXTJOIN(" | ",TRUE,IF($C271="","Thiếu mã nhân viên",""),IF(COUNTIF($C$6:$C$505,$C271)&gt;1,"Trùng mã nhân viên",""),IF($D271="","Thiếu họ tên",""),IF(AND($E271&lt;&gt;"",OR(NOT(ISNUMBER($E271)),$E271&lt;DATE(1940,1,1),$E271&gt;TODAY())),"Ngày sinh không hợp lệ",""),IF(AND($G271&lt;&gt;"",OR(ISERROR(SEARCH("@",$G271)),ISERROR(SEARCH(".",$G271)))),"Email cá nhân không hợp lệ",""),IF(AND($H271&lt;&gt;"",OR(ISERROR(SEARCH("@",$H271)),ISERROR(SEARCH(".",$H271)))),"Email công ty không hợp lệ",""),IF(AND($I271&lt;&gt;"",OR(LEN($I271)&lt;9,LEN($I271)&gt;15,NOT(ISNUMBER(--$I271)))),"Số điện thoại không hợp lệ","")))</f>
        <v/>
      </c>
      <c r="C271" s="20" t="n"/>
      <c r="D271" s="21" t="n"/>
      <c r="E271" s="22" t="n"/>
      <c r="F271" s="21" t="n"/>
      <c r="G271" s="21" t="n"/>
      <c r="H271" s="21" t="n"/>
      <c r="I271" s="20" t="n"/>
      <c r="J271" s="21" t="n"/>
      <c r="K271" s="21" t="n"/>
    </row>
    <row r="272">
      <c r="A272" s="19">
        <f>IF($C272="","CHƯA NHẬP",IF($B272="","HỢP LỆ","LỖI"))</f>
        <v/>
      </c>
      <c r="B272" s="19">
        <f>IF($C272="","",TEXTJOIN(" | ",TRUE,IF($C272="","Thiếu mã nhân viên",""),IF(COUNTIF($C$6:$C$505,$C272)&gt;1,"Trùng mã nhân viên",""),IF($D272="","Thiếu họ tên",""),IF(AND($E272&lt;&gt;"",OR(NOT(ISNUMBER($E272)),$E272&lt;DATE(1940,1,1),$E272&gt;TODAY())),"Ngày sinh không hợp lệ",""),IF(AND($G272&lt;&gt;"",OR(ISERROR(SEARCH("@",$G272)),ISERROR(SEARCH(".",$G272)))),"Email cá nhân không hợp lệ",""),IF(AND($H272&lt;&gt;"",OR(ISERROR(SEARCH("@",$H272)),ISERROR(SEARCH(".",$H272)))),"Email công ty không hợp lệ",""),IF(AND($I272&lt;&gt;"",OR(LEN($I272)&lt;9,LEN($I272)&gt;15,NOT(ISNUMBER(--$I272)))),"Số điện thoại không hợp lệ","")))</f>
        <v/>
      </c>
      <c r="C272" s="20" t="n"/>
      <c r="D272" s="21" t="n"/>
      <c r="E272" s="22" t="n"/>
      <c r="F272" s="21" t="n"/>
      <c r="G272" s="21" t="n"/>
      <c r="H272" s="21" t="n"/>
      <c r="I272" s="20" t="n"/>
      <c r="J272" s="21" t="n"/>
      <c r="K272" s="21" t="n"/>
    </row>
    <row r="273">
      <c r="A273" s="19">
        <f>IF($C273="","CHƯA NHẬP",IF($B273="","HỢP LỆ","LỖI"))</f>
        <v/>
      </c>
      <c r="B273" s="19">
        <f>IF($C273="","",TEXTJOIN(" | ",TRUE,IF($C273="","Thiếu mã nhân viên",""),IF(COUNTIF($C$6:$C$505,$C273)&gt;1,"Trùng mã nhân viên",""),IF($D273="","Thiếu họ tên",""),IF(AND($E273&lt;&gt;"",OR(NOT(ISNUMBER($E273)),$E273&lt;DATE(1940,1,1),$E273&gt;TODAY())),"Ngày sinh không hợp lệ",""),IF(AND($G273&lt;&gt;"",OR(ISERROR(SEARCH("@",$G273)),ISERROR(SEARCH(".",$G273)))),"Email cá nhân không hợp lệ",""),IF(AND($H273&lt;&gt;"",OR(ISERROR(SEARCH("@",$H273)),ISERROR(SEARCH(".",$H273)))),"Email công ty không hợp lệ",""),IF(AND($I273&lt;&gt;"",OR(LEN($I273)&lt;9,LEN($I273)&gt;15,NOT(ISNUMBER(--$I273)))),"Số điện thoại không hợp lệ","")))</f>
        <v/>
      </c>
      <c r="C273" s="20" t="n"/>
      <c r="D273" s="21" t="n"/>
      <c r="E273" s="22" t="n"/>
      <c r="F273" s="21" t="n"/>
      <c r="G273" s="21" t="n"/>
      <c r="H273" s="21" t="n"/>
      <c r="I273" s="20" t="n"/>
      <c r="J273" s="21" t="n"/>
      <c r="K273" s="21" t="n"/>
    </row>
    <row r="274">
      <c r="A274" s="19">
        <f>IF($C274="","CHƯA NHẬP",IF($B274="","HỢP LỆ","LỖI"))</f>
        <v/>
      </c>
      <c r="B274" s="19">
        <f>IF($C274="","",TEXTJOIN(" | ",TRUE,IF($C274="","Thiếu mã nhân viên",""),IF(COUNTIF($C$6:$C$505,$C274)&gt;1,"Trùng mã nhân viên",""),IF($D274="","Thiếu họ tên",""),IF(AND($E274&lt;&gt;"",OR(NOT(ISNUMBER($E274)),$E274&lt;DATE(1940,1,1),$E274&gt;TODAY())),"Ngày sinh không hợp lệ",""),IF(AND($G274&lt;&gt;"",OR(ISERROR(SEARCH("@",$G274)),ISERROR(SEARCH(".",$G274)))),"Email cá nhân không hợp lệ",""),IF(AND($H274&lt;&gt;"",OR(ISERROR(SEARCH("@",$H274)),ISERROR(SEARCH(".",$H274)))),"Email công ty không hợp lệ",""),IF(AND($I274&lt;&gt;"",OR(LEN($I274)&lt;9,LEN($I274)&gt;15,NOT(ISNUMBER(--$I274)))),"Số điện thoại không hợp lệ","")))</f>
        <v/>
      </c>
      <c r="C274" s="20" t="n"/>
      <c r="D274" s="21" t="n"/>
      <c r="E274" s="22" t="n"/>
      <c r="F274" s="21" t="n"/>
      <c r="G274" s="21" t="n"/>
      <c r="H274" s="21" t="n"/>
      <c r="I274" s="20" t="n"/>
      <c r="J274" s="21" t="n"/>
      <c r="K274" s="21" t="n"/>
    </row>
    <row r="275">
      <c r="A275" s="19">
        <f>IF($C275="","CHƯA NHẬP",IF($B275="","HỢP LỆ","LỖI"))</f>
        <v/>
      </c>
      <c r="B275" s="19">
        <f>IF($C275="","",TEXTJOIN(" | ",TRUE,IF($C275="","Thiếu mã nhân viên",""),IF(COUNTIF($C$6:$C$505,$C275)&gt;1,"Trùng mã nhân viên",""),IF($D275="","Thiếu họ tên",""),IF(AND($E275&lt;&gt;"",OR(NOT(ISNUMBER($E275)),$E275&lt;DATE(1940,1,1),$E275&gt;TODAY())),"Ngày sinh không hợp lệ",""),IF(AND($G275&lt;&gt;"",OR(ISERROR(SEARCH("@",$G275)),ISERROR(SEARCH(".",$G275)))),"Email cá nhân không hợp lệ",""),IF(AND($H275&lt;&gt;"",OR(ISERROR(SEARCH("@",$H275)),ISERROR(SEARCH(".",$H275)))),"Email công ty không hợp lệ",""),IF(AND($I275&lt;&gt;"",OR(LEN($I275)&lt;9,LEN($I275)&gt;15,NOT(ISNUMBER(--$I275)))),"Số điện thoại không hợp lệ","")))</f>
        <v/>
      </c>
      <c r="C275" s="20" t="n"/>
      <c r="D275" s="21" t="n"/>
      <c r="E275" s="22" t="n"/>
      <c r="F275" s="21" t="n"/>
      <c r="G275" s="21" t="n"/>
      <c r="H275" s="21" t="n"/>
      <c r="I275" s="20" t="n"/>
      <c r="J275" s="21" t="n"/>
      <c r="K275" s="21" t="n"/>
    </row>
    <row r="276">
      <c r="A276" s="19">
        <f>IF($C276="","CHƯA NHẬP",IF($B276="","HỢP LỆ","LỖI"))</f>
        <v/>
      </c>
      <c r="B276" s="19">
        <f>IF($C276="","",TEXTJOIN(" | ",TRUE,IF($C276="","Thiếu mã nhân viên",""),IF(COUNTIF($C$6:$C$505,$C276)&gt;1,"Trùng mã nhân viên",""),IF($D276="","Thiếu họ tên",""),IF(AND($E276&lt;&gt;"",OR(NOT(ISNUMBER($E276)),$E276&lt;DATE(1940,1,1),$E276&gt;TODAY())),"Ngày sinh không hợp lệ",""),IF(AND($G276&lt;&gt;"",OR(ISERROR(SEARCH("@",$G276)),ISERROR(SEARCH(".",$G276)))),"Email cá nhân không hợp lệ",""),IF(AND($H276&lt;&gt;"",OR(ISERROR(SEARCH("@",$H276)),ISERROR(SEARCH(".",$H276)))),"Email công ty không hợp lệ",""),IF(AND($I276&lt;&gt;"",OR(LEN($I276)&lt;9,LEN($I276)&gt;15,NOT(ISNUMBER(--$I276)))),"Số điện thoại không hợp lệ","")))</f>
        <v/>
      </c>
      <c r="C276" s="20" t="n"/>
      <c r="D276" s="21" t="n"/>
      <c r="E276" s="22" t="n"/>
      <c r="F276" s="21" t="n"/>
      <c r="G276" s="21" t="n"/>
      <c r="H276" s="21" t="n"/>
      <c r="I276" s="20" t="n"/>
      <c r="J276" s="21" t="n"/>
      <c r="K276" s="21" t="n"/>
    </row>
    <row r="277">
      <c r="A277" s="19">
        <f>IF($C277="","CHƯA NHẬP",IF($B277="","HỢP LỆ","LỖI"))</f>
        <v/>
      </c>
      <c r="B277" s="19">
        <f>IF($C277="","",TEXTJOIN(" | ",TRUE,IF($C277="","Thiếu mã nhân viên",""),IF(COUNTIF($C$6:$C$505,$C277)&gt;1,"Trùng mã nhân viên",""),IF($D277="","Thiếu họ tên",""),IF(AND($E277&lt;&gt;"",OR(NOT(ISNUMBER($E277)),$E277&lt;DATE(1940,1,1),$E277&gt;TODAY())),"Ngày sinh không hợp lệ",""),IF(AND($G277&lt;&gt;"",OR(ISERROR(SEARCH("@",$G277)),ISERROR(SEARCH(".",$G277)))),"Email cá nhân không hợp lệ",""),IF(AND($H277&lt;&gt;"",OR(ISERROR(SEARCH("@",$H277)),ISERROR(SEARCH(".",$H277)))),"Email công ty không hợp lệ",""),IF(AND($I277&lt;&gt;"",OR(LEN($I277)&lt;9,LEN($I277)&gt;15,NOT(ISNUMBER(--$I277)))),"Số điện thoại không hợp lệ","")))</f>
        <v/>
      </c>
      <c r="C277" s="20" t="n"/>
      <c r="D277" s="21" t="n"/>
      <c r="E277" s="22" t="n"/>
      <c r="F277" s="21" t="n"/>
      <c r="G277" s="21" t="n"/>
      <c r="H277" s="21" t="n"/>
      <c r="I277" s="20" t="n"/>
      <c r="J277" s="21" t="n"/>
      <c r="K277" s="21" t="n"/>
    </row>
    <row r="278">
      <c r="A278" s="19">
        <f>IF($C278="","CHƯA NHẬP",IF($B278="","HỢP LỆ","LỖI"))</f>
        <v/>
      </c>
      <c r="B278" s="19">
        <f>IF($C278="","",TEXTJOIN(" | ",TRUE,IF($C278="","Thiếu mã nhân viên",""),IF(COUNTIF($C$6:$C$505,$C278)&gt;1,"Trùng mã nhân viên",""),IF($D278="","Thiếu họ tên",""),IF(AND($E278&lt;&gt;"",OR(NOT(ISNUMBER($E278)),$E278&lt;DATE(1940,1,1),$E278&gt;TODAY())),"Ngày sinh không hợp lệ",""),IF(AND($G278&lt;&gt;"",OR(ISERROR(SEARCH("@",$G278)),ISERROR(SEARCH(".",$G278)))),"Email cá nhân không hợp lệ",""),IF(AND($H278&lt;&gt;"",OR(ISERROR(SEARCH("@",$H278)),ISERROR(SEARCH(".",$H278)))),"Email công ty không hợp lệ",""),IF(AND($I278&lt;&gt;"",OR(LEN($I278)&lt;9,LEN($I278)&gt;15,NOT(ISNUMBER(--$I278)))),"Số điện thoại không hợp lệ","")))</f>
        <v/>
      </c>
      <c r="C278" s="20" t="n"/>
      <c r="D278" s="21" t="n"/>
      <c r="E278" s="22" t="n"/>
      <c r="F278" s="21" t="n"/>
      <c r="G278" s="21" t="n"/>
      <c r="H278" s="21" t="n"/>
      <c r="I278" s="20" t="n"/>
      <c r="J278" s="21" t="n"/>
      <c r="K278" s="21" t="n"/>
    </row>
    <row r="279">
      <c r="A279" s="19">
        <f>IF($C279="","CHƯA NHẬP",IF($B279="","HỢP LỆ","LỖI"))</f>
        <v/>
      </c>
      <c r="B279" s="19">
        <f>IF($C279="","",TEXTJOIN(" | ",TRUE,IF($C279="","Thiếu mã nhân viên",""),IF(COUNTIF($C$6:$C$505,$C279)&gt;1,"Trùng mã nhân viên",""),IF($D279="","Thiếu họ tên",""),IF(AND($E279&lt;&gt;"",OR(NOT(ISNUMBER($E279)),$E279&lt;DATE(1940,1,1),$E279&gt;TODAY())),"Ngày sinh không hợp lệ",""),IF(AND($G279&lt;&gt;"",OR(ISERROR(SEARCH("@",$G279)),ISERROR(SEARCH(".",$G279)))),"Email cá nhân không hợp lệ",""),IF(AND($H279&lt;&gt;"",OR(ISERROR(SEARCH("@",$H279)),ISERROR(SEARCH(".",$H279)))),"Email công ty không hợp lệ",""),IF(AND($I279&lt;&gt;"",OR(LEN($I279)&lt;9,LEN($I279)&gt;15,NOT(ISNUMBER(--$I279)))),"Số điện thoại không hợp lệ","")))</f>
        <v/>
      </c>
      <c r="C279" s="20" t="n"/>
      <c r="D279" s="21" t="n"/>
      <c r="E279" s="22" t="n"/>
      <c r="F279" s="21" t="n"/>
      <c r="G279" s="21" t="n"/>
      <c r="H279" s="21" t="n"/>
      <c r="I279" s="20" t="n"/>
      <c r="J279" s="21" t="n"/>
      <c r="K279" s="21" t="n"/>
    </row>
    <row r="280">
      <c r="A280" s="19">
        <f>IF($C280="","CHƯA NHẬP",IF($B280="","HỢP LỆ","LỖI"))</f>
        <v/>
      </c>
      <c r="B280" s="19">
        <f>IF($C280="","",TEXTJOIN(" | ",TRUE,IF($C280="","Thiếu mã nhân viên",""),IF(COUNTIF($C$6:$C$505,$C280)&gt;1,"Trùng mã nhân viên",""),IF($D280="","Thiếu họ tên",""),IF(AND($E280&lt;&gt;"",OR(NOT(ISNUMBER($E280)),$E280&lt;DATE(1940,1,1),$E280&gt;TODAY())),"Ngày sinh không hợp lệ",""),IF(AND($G280&lt;&gt;"",OR(ISERROR(SEARCH("@",$G280)),ISERROR(SEARCH(".",$G280)))),"Email cá nhân không hợp lệ",""),IF(AND($H280&lt;&gt;"",OR(ISERROR(SEARCH("@",$H280)),ISERROR(SEARCH(".",$H280)))),"Email công ty không hợp lệ",""),IF(AND($I280&lt;&gt;"",OR(LEN($I280)&lt;9,LEN($I280)&gt;15,NOT(ISNUMBER(--$I280)))),"Số điện thoại không hợp lệ","")))</f>
        <v/>
      </c>
      <c r="C280" s="20" t="n"/>
      <c r="D280" s="21" t="n"/>
      <c r="E280" s="22" t="n"/>
      <c r="F280" s="21" t="n"/>
      <c r="G280" s="21" t="n"/>
      <c r="H280" s="21" t="n"/>
      <c r="I280" s="20" t="n"/>
      <c r="J280" s="21" t="n"/>
      <c r="K280" s="21" t="n"/>
    </row>
    <row r="281">
      <c r="A281" s="19">
        <f>IF($C281="","CHƯA NHẬP",IF($B281="","HỢP LỆ","LỖI"))</f>
        <v/>
      </c>
      <c r="B281" s="19">
        <f>IF($C281="","",TEXTJOIN(" | ",TRUE,IF($C281="","Thiếu mã nhân viên",""),IF(COUNTIF($C$6:$C$505,$C281)&gt;1,"Trùng mã nhân viên",""),IF($D281="","Thiếu họ tên",""),IF(AND($E281&lt;&gt;"",OR(NOT(ISNUMBER($E281)),$E281&lt;DATE(1940,1,1),$E281&gt;TODAY())),"Ngày sinh không hợp lệ",""),IF(AND($G281&lt;&gt;"",OR(ISERROR(SEARCH("@",$G281)),ISERROR(SEARCH(".",$G281)))),"Email cá nhân không hợp lệ",""),IF(AND($H281&lt;&gt;"",OR(ISERROR(SEARCH("@",$H281)),ISERROR(SEARCH(".",$H281)))),"Email công ty không hợp lệ",""),IF(AND($I281&lt;&gt;"",OR(LEN($I281)&lt;9,LEN($I281)&gt;15,NOT(ISNUMBER(--$I281)))),"Số điện thoại không hợp lệ","")))</f>
        <v/>
      </c>
      <c r="C281" s="20" t="n"/>
      <c r="D281" s="21" t="n"/>
      <c r="E281" s="22" t="n"/>
      <c r="F281" s="21" t="n"/>
      <c r="G281" s="21" t="n"/>
      <c r="H281" s="21" t="n"/>
      <c r="I281" s="20" t="n"/>
      <c r="J281" s="21" t="n"/>
      <c r="K281" s="21" t="n"/>
    </row>
    <row r="282">
      <c r="A282" s="19">
        <f>IF($C282="","CHƯA NHẬP",IF($B282="","HỢP LỆ","LỖI"))</f>
        <v/>
      </c>
      <c r="B282" s="19">
        <f>IF($C282="","",TEXTJOIN(" | ",TRUE,IF($C282="","Thiếu mã nhân viên",""),IF(COUNTIF($C$6:$C$505,$C282)&gt;1,"Trùng mã nhân viên",""),IF($D282="","Thiếu họ tên",""),IF(AND($E282&lt;&gt;"",OR(NOT(ISNUMBER($E282)),$E282&lt;DATE(1940,1,1),$E282&gt;TODAY())),"Ngày sinh không hợp lệ",""),IF(AND($G282&lt;&gt;"",OR(ISERROR(SEARCH("@",$G282)),ISERROR(SEARCH(".",$G282)))),"Email cá nhân không hợp lệ",""),IF(AND($H282&lt;&gt;"",OR(ISERROR(SEARCH("@",$H282)),ISERROR(SEARCH(".",$H282)))),"Email công ty không hợp lệ",""),IF(AND($I282&lt;&gt;"",OR(LEN($I282)&lt;9,LEN($I282)&gt;15,NOT(ISNUMBER(--$I282)))),"Số điện thoại không hợp lệ","")))</f>
        <v/>
      </c>
      <c r="C282" s="20" t="n"/>
      <c r="D282" s="21" t="n"/>
      <c r="E282" s="22" t="n"/>
      <c r="F282" s="21" t="n"/>
      <c r="G282" s="21" t="n"/>
      <c r="H282" s="21" t="n"/>
      <c r="I282" s="20" t="n"/>
      <c r="J282" s="21" t="n"/>
      <c r="K282" s="21" t="n"/>
    </row>
    <row r="283">
      <c r="A283" s="19">
        <f>IF($C283="","CHƯA NHẬP",IF($B283="","HỢP LỆ","LỖI"))</f>
        <v/>
      </c>
      <c r="B283" s="19">
        <f>IF($C283="","",TEXTJOIN(" | ",TRUE,IF($C283="","Thiếu mã nhân viên",""),IF(COUNTIF($C$6:$C$505,$C283)&gt;1,"Trùng mã nhân viên",""),IF($D283="","Thiếu họ tên",""),IF(AND($E283&lt;&gt;"",OR(NOT(ISNUMBER($E283)),$E283&lt;DATE(1940,1,1),$E283&gt;TODAY())),"Ngày sinh không hợp lệ",""),IF(AND($G283&lt;&gt;"",OR(ISERROR(SEARCH("@",$G283)),ISERROR(SEARCH(".",$G283)))),"Email cá nhân không hợp lệ",""),IF(AND($H283&lt;&gt;"",OR(ISERROR(SEARCH("@",$H283)),ISERROR(SEARCH(".",$H283)))),"Email công ty không hợp lệ",""),IF(AND($I283&lt;&gt;"",OR(LEN($I283)&lt;9,LEN($I283)&gt;15,NOT(ISNUMBER(--$I283)))),"Số điện thoại không hợp lệ","")))</f>
        <v/>
      </c>
      <c r="C283" s="20" t="n"/>
      <c r="D283" s="21" t="n"/>
      <c r="E283" s="22" t="n"/>
      <c r="F283" s="21" t="n"/>
      <c r="G283" s="21" t="n"/>
      <c r="H283" s="21" t="n"/>
      <c r="I283" s="20" t="n"/>
      <c r="J283" s="21" t="n"/>
      <c r="K283" s="21" t="n"/>
    </row>
    <row r="284">
      <c r="A284" s="19">
        <f>IF($C284="","CHƯA NHẬP",IF($B284="","HỢP LỆ","LỖI"))</f>
        <v/>
      </c>
      <c r="B284" s="19">
        <f>IF($C284="","",TEXTJOIN(" | ",TRUE,IF($C284="","Thiếu mã nhân viên",""),IF(COUNTIF($C$6:$C$505,$C284)&gt;1,"Trùng mã nhân viên",""),IF($D284="","Thiếu họ tên",""),IF(AND($E284&lt;&gt;"",OR(NOT(ISNUMBER($E284)),$E284&lt;DATE(1940,1,1),$E284&gt;TODAY())),"Ngày sinh không hợp lệ",""),IF(AND($G284&lt;&gt;"",OR(ISERROR(SEARCH("@",$G284)),ISERROR(SEARCH(".",$G284)))),"Email cá nhân không hợp lệ",""),IF(AND($H284&lt;&gt;"",OR(ISERROR(SEARCH("@",$H284)),ISERROR(SEARCH(".",$H284)))),"Email công ty không hợp lệ",""),IF(AND($I284&lt;&gt;"",OR(LEN($I284)&lt;9,LEN($I284)&gt;15,NOT(ISNUMBER(--$I284)))),"Số điện thoại không hợp lệ","")))</f>
        <v/>
      </c>
      <c r="C284" s="20" t="n"/>
      <c r="D284" s="21" t="n"/>
      <c r="E284" s="22" t="n"/>
      <c r="F284" s="21" t="n"/>
      <c r="G284" s="21" t="n"/>
      <c r="H284" s="21" t="n"/>
      <c r="I284" s="20" t="n"/>
      <c r="J284" s="21" t="n"/>
      <c r="K284" s="21" t="n"/>
    </row>
    <row r="285">
      <c r="A285" s="19">
        <f>IF($C285="","CHƯA NHẬP",IF($B285="","HỢP LỆ","LỖI"))</f>
        <v/>
      </c>
      <c r="B285" s="19">
        <f>IF($C285="","",TEXTJOIN(" | ",TRUE,IF($C285="","Thiếu mã nhân viên",""),IF(COUNTIF($C$6:$C$505,$C285)&gt;1,"Trùng mã nhân viên",""),IF($D285="","Thiếu họ tên",""),IF(AND($E285&lt;&gt;"",OR(NOT(ISNUMBER($E285)),$E285&lt;DATE(1940,1,1),$E285&gt;TODAY())),"Ngày sinh không hợp lệ",""),IF(AND($G285&lt;&gt;"",OR(ISERROR(SEARCH("@",$G285)),ISERROR(SEARCH(".",$G285)))),"Email cá nhân không hợp lệ",""),IF(AND($H285&lt;&gt;"",OR(ISERROR(SEARCH("@",$H285)),ISERROR(SEARCH(".",$H285)))),"Email công ty không hợp lệ",""),IF(AND($I285&lt;&gt;"",OR(LEN($I285)&lt;9,LEN($I285)&gt;15,NOT(ISNUMBER(--$I285)))),"Số điện thoại không hợp lệ","")))</f>
        <v/>
      </c>
      <c r="C285" s="20" t="n"/>
      <c r="D285" s="21" t="n"/>
      <c r="E285" s="22" t="n"/>
      <c r="F285" s="21" t="n"/>
      <c r="G285" s="21" t="n"/>
      <c r="H285" s="21" t="n"/>
      <c r="I285" s="20" t="n"/>
      <c r="J285" s="21" t="n"/>
      <c r="K285" s="21" t="n"/>
    </row>
    <row r="286">
      <c r="A286" s="19">
        <f>IF($C286="","CHƯA NHẬP",IF($B286="","HỢP LỆ","LỖI"))</f>
        <v/>
      </c>
      <c r="B286" s="19">
        <f>IF($C286="","",TEXTJOIN(" | ",TRUE,IF($C286="","Thiếu mã nhân viên",""),IF(COUNTIF($C$6:$C$505,$C286)&gt;1,"Trùng mã nhân viên",""),IF($D286="","Thiếu họ tên",""),IF(AND($E286&lt;&gt;"",OR(NOT(ISNUMBER($E286)),$E286&lt;DATE(1940,1,1),$E286&gt;TODAY())),"Ngày sinh không hợp lệ",""),IF(AND($G286&lt;&gt;"",OR(ISERROR(SEARCH("@",$G286)),ISERROR(SEARCH(".",$G286)))),"Email cá nhân không hợp lệ",""),IF(AND($H286&lt;&gt;"",OR(ISERROR(SEARCH("@",$H286)),ISERROR(SEARCH(".",$H286)))),"Email công ty không hợp lệ",""),IF(AND($I286&lt;&gt;"",OR(LEN($I286)&lt;9,LEN($I286)&gt;15,NOT(ISNUMBER(--$I286)))),"Số điện thoại không hợp lệ","")))</f>
        <v/>
      </c>
      <c r="C286" s="20" t="n"/>
      <c r="D286" s="21" t="n"/>
      <c r="E286" s="22" t="n"/>
      <c r="F286" s="21" t="n"/>
      <c r="G286" s="21" t="n"/>
      <c r="H286" s="21" t="n"/>
      <c r="I286" s="20" t="n"/>
      <c r="J286" s="21" t="n"/>
      <c r="K286" s="21" t="n"/>
    </row>
    <row r="287">
      <c r="A287" s="19">
        <f>IF($C287="","CHƯA NHẬP",IF($B287="","HỢP LỆ","LỖI"))</f>
        <v/>
      </c>
      <c r="B287" s="19">
        <f>IF($C287="","",TEXTJOIN(" | ",TRUE,IF($C287="","Thiếu mã nhân viên",""),IF(COUNTIF($C$6:$C$505,$C287)&gt;1,"Trùng mã nhân viên",""),IF($D287="","Thiếu họ tên",""),IF(AND($E287&lt;&gt;"",OR(NOT(ISNUMBER($E287)),$E287&lt;DATE(1940,1,1),$E287&gt;TODAY())),"Ngày sinh không hợp lệ",""),IF(AND($G287&lt;&gt;"",OR(ISERROR(SEARCH("@",$G287)),ISERROR(SEARCH(".",$G287)))),"Email cá nhân không hợp lệ",""),IF(AND($H287&lt;&gt;"",OR(ISERROR(SEARCH("@",$H287)),ISERROR(SEARCH(".",$H287)))),"Email công ty không hợp lệ",""),IF(AND($I287&lt;&gt;"",OR(LEN($I287)&lt;9,LEN($I287)&gt;15,NOT(ISNUMBER(--$I287)))),"Số điện thoại không hợp lệ","")))</f>
        <v/>
      </c>
      <c r="C287" s="20" t="n"/>
      <c r="D287" s="21" t="n"/>
      <c r="E287" s="22" t="n"/>
      <c r="F287" s="21" t="n"/>
      <c r="G287" s="21" t="n"/>
      <c r="H287" s="21" t="n"/>
      <c r="I287" s="20" t="n"/>
      <c r="J287" s="21" t="n"/>
      <c r="K287" s="21" t="n"/>
    </row>
    <row r="288">
      <c r="A288" s="19">
        <f>IF($C288="","CHƯA NHẬP",IF($B288="","HỢP LỆ","LỖI"))</f>
        <v/>
      </c>
      <c r="B288" s="19">
        <f>IF($C288="","",TEXTJOIN(" | ",TRUE,IF($C288="","Thiếu mã nhân viên",""),IF(COUNTIF($C$6:$C$505,$C288)&gt;1,"Trùng mã nhân viên",""),IF($D288="","Thiếu họ tên",""),IF(AND($E288&lt;&gt;"",OR(NOT(ISNUMBER($E288)),$E288&lt;DATE(1940,1,1),$E288&gt;TODAY())),"Ngày sinh không hợp lệ",""),IF(AND($G288&lt;&gt;"",OR(ISERROR(SEARCH("@",$G288)),ISERROR(SEARCH(".",$G288)))),"Email cá nhân không hợp lệ",""),IF(AND($H288&lt;&gt;"",OR(ISERROR(SEARCH("@",$H288)),ISERROR(SEARCH(".",$H288)))),"Email công ty không hợp lệ",""),IF(AND($I288&lt;&gt;"",OR(LEN($I288)&lt;9,LEN($I288)&gt;15,NOT(ISNUMBER(--$I288)))),"Số điện thoại không hợp lệ","")))</f>
        <v/>
      </c>
      <c r="C288" s="20" t="n"/>
      <c r="D288" s="21" t="n"/>
      <c r="E288" s="22" t="n"/>
      <c r="F288" s="21" t="n"/>
      <c r="G288" s="21" t="n"/>
      <c r="H288" s="21" t="n"/>
      <c r="I288" s="20" t="n"/>
      <c r="J288" s="21" t="n"/>
      <c r="K288" s="21" t="n"/>
    </row>
    <row r="289">
      <c r="A289" s="19">
        <f>IF($C289="","CHƯA NHẬP",IF($B289="","HỢP LỆ","LỖI"))</f>
        <v/>
      </c>
      <c r="B289" s="19">
        <f>IF($C289="","",TEXTJOIN(" | ",TRUE,IF($C289="","Thiếu mã nhân viên",""),IF(COUNTIF($C$6:$C$505,$C289)&gt;1,"Trùng mã nhân viên",""),IF($D289="","Thiếu họ tên",""),IF(AND($E289&lt;&gt;"",OR(NOT(ISNUMBER($E289)),$E289&lt;DATE(1940,1,1),$E289&gt;TODAY())),"Ngày sinh không hợp lệ",""),IF(AND($G289&lt;&gt;"",OR(ISERROR(SEARCH("@",$G289)),ISERROR(SEARCH(".",$G289)))),"Email cá nhân không hợp lệ",""),IF(AND($H289&lt;&gt;"",OR(ISERROR(SEARCH("@",$H289)),ISERROR(SEARCH(".",$H289)))),"Email công ty không hợp lệ",""),IF(AND($I289&lt;&gt;"",OR(LEN($I289)&lt;9,LEN($I289)&gt;15,NOT(ISNUMBER(--$I289)))),"Số điện thoại không hợp lệ","")))</f>
        <v/>
      </c>
      <c r="C289" s="20" t="n"/>
      <c r="D289" s="21" t="n"/>
      <c r="E289" s="22" t="n"/>
      <c r="F289" s="21" t="n"/>
      <c r="G289" s="21" t="n"/>
      <c r="H289" s="21" t="n"/>
      <c r="I289" s="20" t="n"/>
      <c r="J289" s="21" t="n"/>
      <c r="K289" s="21" t="n"/>
    </row>
    <row r="290">
      <c r="A290" s="19">
        <f>IF($C290="","CHƯA NHẬP",IF($B290="","HỢP LỆ","LỖI"))</f>
        <v/>
      </c>
      <c r="B290" s="19">
        <f>IF($C290="","",TEXTJOIN(" | ",TRUE,IF($C290="","Thiếu mã nhân viên",""),IF(COUNTIF($C$6:$C$505,$C290)&gt;1,"Trùng mã nhân viên",""),IF($D290="","Thiếu họ tên",""),IF(AND($E290&lt;&gt;"",OR(NOT(ISNUMBER($E290)),$E290&lt;DATE(1940,1,1),$E290&gt;TODAY())),"Ngày sinh không hợp lệ",""),IF(AND($G290&lt;&gt;"",OR(ISERROR(SEARCH("@",$G290)),ISERROR(SEARCH(".",$G290)))),"Email cá nhân không hợp lệ",""),IF(AND($H290&lt;&gt;"",OR(ISERROR(SEARCH("@",$H290)),ISERROR(SEARCH(".",$H290)))),"Email công ty không hợp lệ",""),IF(AND($I290&lt;&gt;"",OR(LEN($I290)&lt;9,LEN($I290)&gt;15,NOT(ISNUMBER(--$I290)))),"Số điện thoại không hợp lệ","")))</f>
        <v/>
      </c>
      <c r="C290" s="20" t="n"/>
      <c r="D290" s="21" t="n"/>
      <c r="E290" s="22" t="n"/>
      <c r="F290" s="21" t="n"/>
      <c r="G290" s="21" t="n"/>
      <c r="H290" s="21" t="n"/>
      <c r="I290" s="20" t="n"/>
      <c r="J290" s="21" t="n"/>
      <c r="K290" s="21" t="n"/>
    </row>
    <row r="291">
      <c r="A291" s="19">
        <f>IF($C291="","CHƯA NHẬP",IF($B291="","HỢP LỆ","LỖI"))</f>
        <v/>
      </c>
      <c r="B291" s="19">
        <f>IF($C291="","",TEXTJOIN(" | ",TRUE,IF($C291="","Thiếu mã nhân viên",""),IF(COUNTIF($C$6:$C$505,$C291)&gt;1,"Trùng mã nhân viên",""),IF($D291="","Thiếu họ tên",""),IF(AND($E291&lt;&gt;"",OR(NOT(ISNUMBER($E291)),$E291&lt;DATE(1940,1,1),$E291&gt;TODAY())),"Ngày sinh không hợp lệ",""),IF(AND($G291&lt;&gt;"",OR(ISERROR(SEARCH("@",$G291)),ISERROR(SEARCH(".",$G291)))),"Email cá nhân không hợp lệ",""),IF(AND($H291&lt;&gt;"",OR(ISERROR(SEARCH("@",$H291)),ISERROR(SEARCH(".",$H291)))),"Email công ty không hợp lệ",""),IF(AND($I291&lt;&gt;"",OR(LEN($I291)&lt;9,LEN($I291)&gt;15,NOT(ISNUMBER(--$I291)))),"Số điện thoại không hợp lệ","")))</f>
        <v/>
      </c>
      <c r="C291" s="20" t="n"/>
      <c r="D291" s="21" t="n"/>
      <c r="E291" s="22" t="n"/>
      <c r="F291" s="21" t="n"/>
      <c r="G291" s="21" t="n"/>
      <c r="H291" s="21" t="n"/>
      <c r="I291" s="20" t="n"/>
      <c r="J291" s="21" t="n"/>
      <c r="K291" s="21" t="n"/>
    </row>
    <row r="292">
      <c r="A292" s="19">
        <f>IF($C292="","CHƯA NHẬP",IF($B292="","HỢP LỆ","LỖI"))</f>
        <v/>
      </c>
      <c r="B292" s="19">
        <f>IF($C292="","",TEXTJOIN(" | ",TRUE,IF($C292="","Thiếu mã nhân viên",""),IF(COUNTIF($C$6:$C$505,$C292)&gt;1,"Trùng mã nhân viên",""),IF($D292="","Thiếu họ tên",""),IF(AND($E292&lt;&gt;"",OR(NOT(ISNUMBER($E292)),$E292&lt;DATE(1940,1,1),$E292&gt;TODAY())),"Ngày sinh không hợp lệ",""),IF(AND($G292&lt;&gt;"",OR(ISERROR(SEARCH("@",$G292)),ISERROR(SEARCH(".",$G292)))),"Email cá nhân không hợp lệ",""),IF(AND($H292&lt;&gt;"",OR(ISERROR(SEARCH("@",$H292)),ISERROR(SEARCH(".",$H292)))),"Email công ty không hợp lệ",""),IF(AND($I292&lt;&gt;"",OR(LEN($I292)&lt;9,LEN($I292)&gt;15,NOT(ISNUMBER(--$I292)))),"Số điện thoại không hợp lệ","")))</f>
        <v/>
      </c>
      <c r="C292" s="20" t="n"/>
      <c r="D292" s="21" t="n"/>
      <c r="E292" s="22" t="n"/>
      <c r="F292" s="21" t="n"/>
      <c r="G292" s="21" t="n"/>
      <c r="H292" s="21" t="n"/>
      <c r="I292" s="20" t="n"/>
      <c r="J292" s="21" t="n"/>
      <c r="K292" s="21" t="n"/>
    </row>
    <row r="293">
      <c r="A293" s="19">
        <f>IF($C293="","CHƯA NHẬP",IF($B293="","HỢP LỆ","LỖI"))</f>
        <v/>
      </c>
      <c r="B293" s="19">
        <f>IF($C293="","",TEXTJOIN(" | ",TRUE,IF($C293="","Thiếu mã nhân viên",""),IF(COUNTIF($C$6:$C$505,$C293)&gt;1,"Trùng mã nhân viên",""),IF($D293="","Thiếu họ tên",""),IF(AND($E293&lt;&gt;"",OR(NOT(ISNUMBER($E293)),$E293&lt;DATE(1940,1,1),$E293&gt;TODAY())),"Ngày sinh không hợp lệ",""),IF(AND($G293&lt;&gt;"",OR(ISERROR(SEARCH("@",$G293)),ISERROR(SEARCH(".",$G293)))),"Email cá nhân không hợp lệ",""),IF(AND($H293&lt;&gt;"",OR(ISERROR(SEARCH("@",$H293)),ISERROR(SEARCH(".",$H293)))),"Email công ty không hợp lệ",""),IF(AND($I293&lt;&gt;"",OR(LEN($I293)&lt;9,LEN($I293)&gt;15,NOT(ISNUMBER(--$I293)))),"Số điện thoại không hợp lệ","")))</f>
        <v/>
      </c>
      <c r="C293" s="20" t="n"/>
      <c r="D293" s="21" t="n"/>
      <c r="E293" s="22" t="n"/>
      <c r="F293" s="21" t="n"/>
      <c r="G293" s="21" t="n"/>
      <c r="H293" s="21" t="n"/>
      <c r="I293" s="20" t="n"/>
      <c r="J293" s="21" t="n"/>
      <c r="K293" s="21" t="n"/>
    </row>
    <row r="294">
      <c r="A294" s="19">
        <f>IF($C294="","CHƯA NHẬP",IF($B294="","HỢP LỆ","LỖI"))</f>
        <v/>
      </c>
      <c r="B294" s="19">
        <f>IF($C294="","",TEXTJOIN(" | ",TRUE,IF($C294="","Thiếu mã nhân viên",""),IF(COUNTIF($C$6:$C$505,$C294)&gt;1,"Trùng mã nhân viên",""),IF($D294="","Thiếu họ tên",""),IF(AND($E294&lt;&gt;"",OR(NOT(ISNUMBER($E294)),$E294&lt;DATE(1940,1,1),$E294&gt;TODAY())),"Ngày sinh không hợp lệ",""),IF(AND($G294&lt;&gt;"",OR(ISERROR(SEARCH("@",$G294)),ISERROR(SEARCH(".",$G294)))),"Email cá nhân không hợp lệ",""),IF(AND($H294&lt;&gt;"",OR(ISERROR(SEARCH("@",$H294)),ISERROR(SEARCH(".",$H294)))),"Email công ty không hợp lệ",""),IF(AND($I294&lt;&gt;"",OR(LEN($I294)&lt;9,LEN($I294)&gt;15,NOT(ISNUMBER(--$I294)))),"Số điện thoại không hợp lệ","")))</f>
        <v/>
      </c>
      <c r="C294" s="20" t="n"/>
      <c r="D294" s="21" t="n"/>
      <c r="E294" s="22" t="n"/>
      <c r="F294" s="21" t="n"/>
      <c r="G294" s="21" t="n"/>
      <c r="H294" s="21" t="n"/>
      <c r="I294" s="20" t="n"/>
      <c r="J294" s="21" t="n"/>
      <c r="K294" s="21" t="n"/>
    </row>
    <row r="295">
      <c r="A295" s="19">
        <f>IF($C295="","CHƯA NHẬP",IF($B295="","HỢP LỆ","LỖI"))</f>
        <v/>
      </c>
      <c r="B295" s="19">
        <f>IF($C295="","",TEXTJOIN(" | ",TRUE,IF($C295="","Thiếu mã nhân viên",""),IF(COUNTIF($C$6:$C$505,$C295)&gt;1,"Trùng mã nhân viên",""),IF($D295="","Thiếu họ tên",""),IF(AND($E295&lt;&gt;"",OR(NOT(ISNUMBER($E295)),$E295&lt;DATE(1940,1,1),$E295&gt;TODAY())),"Ngày sinh không hợp lệ",""),IF(AND($G295&lt;&gt;"",OR(ISERROR(SEARCH("@",$G295)),ISERROR(SEARCH(".",$G295)))),"Email cá nhân không hợp lệ",""),IF(AND($H295&lt;&gt;"",OR(ISERROR(SEARCH("@",$H295)),ISERROR(SEARCH(".",$H295)))),"Email công ty không hợp lệ",""),IF(AND($I295&lt;&gt;"",OR(LEN($I295)&lt;9,LEN($I295)&gt;15,NOT(ISNUMBER(--$I295)))),"Số điện thoại không hợp lệ","")))</f>
        <v/>
      </c>
      <c r="C295" s="20" t="n"/>
      <c r="D295" s="21" t="n"/>
      <c r="E295" s="22" t="n"/>
      <c r="F295" s="21" t="n"/>
      <c r="G295" s="21" t="n"/>
      <c r="H295" s="21" t="n"/>
      <c r="I295" s="20" t="n"/>
      <c r="J295" s="21" t="n"/>
      <c r="K295" s="21" t="n"/>
    </row>
    <row r="296">
      <c r="A296" s="19">
        <f>IF($C296="","CHƯA NHẬP",IF($B296="","HỢP LỆ","LỖI"))</f>
        <v/>
      </c>
      <c r="B296" s="19">
        <f>IF($C296="","",TEXTJOIN(" | ",TRUE,IF($C296="","Thiếu mã nhân viên",""),IF(COUNTIF($C$6:$C$505,$C296)&gt;1,"Trùng mã nhân viên",""),IF($D296="","Thiếu họ tên",""),IF(AND($E296&lt;&gt;"",OR(NOT(ISNUMBER($E296)),$E296&lt;DATE(1940,1,1),$E296&gt;TODAY())),"Ngày sinh không hợp lệ",""),IF(AND($G296&lt;&gt;"",OR(ISERROR(SEARCH("@",$G296)),ISERROR(SEARCH(".",$G296)))),"Email cá nhân không hợp lệ",""),IF(AND($H296&lt;&gt;"",OR(ISERROR(SEARCH("@",$H296)),ISERROR(SEARCH(".",$H296)))),"Email công ty không hợp lệ",""),IF(AND($I296&lt;&gt;"",OR(LEN($I296)&lt;9,LEN($I296)&gt;15,NOT(ISNUMBER(--$I296)))),"Số điện thoại không hợp lệ","")))</f>
        <v/>
      </c>
      <c r="C296" s="20" t="n"/>
      <c r="D296" s="21" t="n"/>
      <c r="E296" s="22" t="n"/>
      <c r="F296" s="21" t="n"/>
      <c r="G296" s="21" t="n"/>
      <c r="H296" s="21" t="n"/>
      <c r="I296" s="20" t="n"/>
      <c r="J296" s="21" t="n"/>
      <c r="K296" s="21" t="n"/>
    </row>
    <row r="297">
      <c r="A297" s="19">
        <f>IF($C297="","CHƯA NHẬP",IF($B297="","HỢP LỆ","LỖI"))</f>
        <v/>
      </c>
      <c r="B297" s="19">
        <f>IF($C297="","",TEXTJOIN(" | ",TRUE,IF($C297="","Thiếu mã nhân viên",""),IF(COUNTIF($C$6:$C$505,$C297)&gt;1,"Trùng mã nhân viên",""),IF($D297="","Thiếu họ tên",""),IF(AND($E297&lt;&gt;"",OR(NOT(ISNUMBER($E297)),$E297&lt;DATE(1940,1,1),$E297&gt;TODAY())),"Ngày sinh không hợp lệ",""),IF(AND($G297&lt;&gt;"",OR(ISERROR(SEARCH("@",$G297)),ISERROR(SEARCH(".",$G297)))),"Email cá nhân không hợp lệ",""),IF(AND($H297&lt;&gt;"",OR(ISERROR(SEARCH("@",$H297)),ISERROR(SEARCH(".",$H297)))),"Email công ty không hợp lệ",""),IF(AND($I297&lt;&gt;"",OR(LEN($I297)&lt;9,LEN($I297)&gt;15,NOT(ISNUMBER(--$I297)))),"Số điện thoại không hợp lệ","")))</f>
        <v/>
      </c>
      <c r="C297" s="20" t="n"/>
      <c r="D297" s="21" t="n"/>
      <c r="E297" s="22" t="n"/>
      <c r="F297" s="21" t="n"/>
      <c r="G297" s="21" t="n"/>
      <c r="H297" s="21" t="n"/>
      <c r="I297" s="20" t="n"/>
      <c r="J297" s="21" t="n"/>
      <c r="K297" s="21" t="n"/>
    </row>
    <row r="298">
      <c r="A298" s="19">
        <f>IF($C298="","CHƯA NHẬP",IF($B298="","HỢP LỆ","LỖI"))</f>
        <v/>
      </c>
      <c r="B298" s="19">
        <f>IF($C298="","",TEXTJOIN(" | ",TRUE,IF($C298="","Thiếu mã nhân viên",""),IF(COUNTIF($C$6:$C$505,$C298)&gt;1,"Trùng mã nhân viên",""),IF($D298="","Thiếu họ tên",""),IF(AND($E298&lt;&gt;"",OR(NOT(ISNUMBER($E298)),$E298&lt;DATE(1940,1,1),$E298&gt;TODAY())),"Ngày sinh không hợp lệ",""),IF(AND($G298&lt;&gt;"",OR(ISERROR(SEARCH("@",$G298)),ISERROR(SEARCH(".",$G298)))),"Email cá nhân không hợp lệ",""),IF(AND($H298&lt;&gt;"",OR(ISERROR(SEARCH("@",$H298)),ISERROR(SEARCH(".",$H298)))),"Email công ty không hợp lệ",""),IF(AND($I298&lt;&gt;"",OR(LEN($I298)&lt;9,LEN($I298)&gt;15,NOT(ISNUMBER(--$I298)))),"Số điện thoại không hợp lệ","")))</f>
        <v/>
      </c>
      <c r="C298" s="20" t="n"/>
      <c r="D298" s="21" t="n"/>
      <c r="E298" s="22" t="n"/>
      <c r="F298" s="21" t="n"/>
      <c r="G298" s="21" t="n"/>
      <c r="H298" s="21" t="n"/>
      <c r="I298" s="20" t="n"/>
      <c r="J298" s="21" t="n"/>
      <c r="K298" s="21" t="n"/>
    </row>
    <row r="299">
      <c r="A299" s="19">
        <f>IF($C299="","CHƯA NHẬP",IF($B299="","HỢP LỆ","LỖI"))</f>
        <v/>
      </c>
      <c r="B299" s="19">
        <f>IF($C299="","",TEXTJOIN(" | ",TRUE,IF($C299="","Thiếu mã nhân viên",""),IF(COUNTIF($C$6:$C$505,$C299)&gt;1,"Trùng mã nhân viên",""),IF($D299="","Thiếu họ tên",""),IF(AND($E299&lt;&gt;"",OR(NOT(ISNUMBER($E299)),$E299&lt;DATE(1940,1,1),$E299&gt;TODAY())),"Ngày sinh không hợp lệ",""),IF(AND($G299&lt;&gt;"",OR(ISERROR(SEARCH("@",$G299)),ISERROR(SEARCH(".",$G299)))),"Email cá nhân không hợp lệ",""),IF(AND($H299&lt;&gt;"",OR(ISERROR(SEARCH("@",$H299)),ISERROR(SEARCH(".",$H299)))),"Email công ty không hợp lệ",""),IF(AND($I299&lt;&gt;"",OR(LEN($I299)&lt;9,LEN($I299)&gt;15,NOT(ISNUMBER(--$I299)))),"Số điện thoại không hợp lệ","")))</f>
        <v/>
      </c>
      <c r="C299" s="20" t="n"/>
      <c r="D299" s="21" t="n"/>
      <c r="E299" s="22" t="n"/>
      <c r="F299" s="21" t="n"/>
      <c r="G299" s="21" t="n"/>
      <c r="H299" s="21" t="n"/>
      <c r="I299" s="20" t="n"/>
      <c r="J299" s="21" t="n"/>
      <c r="K299" s="21" t="n"/>
    </row>
    <row r="300">
      <c r="A300" s="19">
        <f>IF($C300="","CHƯA NHẬP",IF($B300="","HỢP LỆ","LỖI"))</f>
        <v/>
      </c>
      <c r="B300" s="19">
        <f>IF($C300="","",TEXTJOIN(" | ",TRUE,IF($C300="","Thiếu mã nhân viên",""),IF(COUNTIF($C$6:$C$505,$C300)&gt;1,"Trùng mã nhân viên",""),IF($D300="","Thiếu họ tên",""),IF(AND($E300&lt;&gt;"",OR(NOT(ISNUMBER($E300)),$E300&lt;DATE(1940,1,1),$E300&gt;TODAY())),"Ngày sinh không hợp lệ",""),IF(AND($G300&lt;&gt;"",OR(ISERROR(SEARCH("@",$G300)),ISERROR(SEARCH(".",$G300)))),"Email cá nhân không hợp lệ",""),IF(AND($H300&lt;&gt;"",OR(ISERROR(SEARCH("@",$H300)),ISERROR(SEARCH(".",$H300)))),"Email công ty không hợp lệ",""),IF(AND($I300&lt;&gt;"",OR(LEN($I300)&lt;9,LEN($I300)&gt;15,NOT(ISNUMBER(--$I300)))),"Số điện thoại không hợp lệ","")))</f>
        <v/>
      </c>
      <c r="C300" s="20" t="n"/>
      <c r="D300" s="21" t="n"/>
      <c r="E300" s="22" t="n"/>
      <c r="F300" s="21" t="n"/>
      <c r="G300" s="21" t="n"/>
      <c r="H300" s="21" t="n"/>
      <c r="I300" s="20" t="n"/>
      <c r="J300" s="21" t="n"/>
      <c r="K300" s="21" t="n"/>
    </row>
    <row r="301">
      <c r="A301" s="19">
        <f>IF($C301="","CHƯA NHẬP",IF($B301="","HỢP LỆ","LỖI"))</f>
        <v/>
      </c>
      <c r="B301" s="19">
        <f>IF($C301="","",TEXTJOIN(" | ",TRUE,IF($C301="","Thiếu mã nhân viên",""),IF(COUNTIF($C$6:$C$505,$C301)&gt;1,"Trùng mã nhân viên",""),IF($D301="","Thiếu họ tên",""),IF(AND($E301&lt;&gt;"",OR(NOT(ISNUMBER($E301)),$E301&lt;DATE(1940,1,1),$E301&gt;TODAY())),"Ngày sinh không hợp lệ",""),IF(AND($G301&lt;&gt;"",OR(ISERROR(SEARCH("@",$G301)),ISERROR(SEARCH(".",$G301)))),"Email cá nhân không hợp lệ",""),IF(AND($H301&lt;&gt;"",OR(ISERROR(SEARCH("@",$H301)),ISERROR(SEARCH(".",$H301)))),"Email công ty không hợp lệ",""),IF(AND($I301&lt;&gt;"",OR(LEN($I301)&lt;9,LEN($I301)&gt;15,NOT(ISNUMBER(--$I301)))),"Số điện thoại không hợp lệ","")))</f>
        <v/>
      </c>
      <c r="C301" s="20" t="n"/>
      <c r="D301" s="21" t="n"/>
      <c r="E301" s="22" t="n"/>
      <c r="F301" s="21" t="n"/>
      <c r="G301" s="21" t="n"/>
      <c r="H301" s="21" t="n"/>
      <c r="I301" s="20" t="n"/>
      <c r="J301" s="21" t="n"/>
      <c r="K301" s="21" t="n"/>
    </row>
    <row r="302">
      <c r="A302" s="19">
        <f>IF($C302="","CHƯA NHẬP",IF($B302="","HỢP LỆ","LỖI"))</f>
        <v/>
      </c>
      <c r="B302" s="19">
        <f>IF($C302="","",TEXTJOIN(" | ",TRUE,IF($C302="","Thiếu mã nhân viên",""),IF(COUNTIF($C$6:$C$505,$C302)&gt;1,"Trùng mã nhân viên",""),IF($D302="","Thiếu họ tên",""),IF(AND($E302&lt;&gt;"",OR(NOT(ISNUMBER($E302)),$E302&lt;DATE(1940,1,1),$E302&gt;TODAY())),"Ngày sinh không hợp lệ",""),IF(AND($G302&lt;&gt;"",OR(ISERROR(SEARCH("@",$G302)),ISERROR(SEARCH(".",$G302)))),"Email cá nhân không hợp lệ",""),IF(AND($H302&lt;&gt;"",OR(ISERROR(SEARCH("@",$H302)),ISERROR(SEARCH(".",$H302)))),"Email công ty không hợp lệ",""),IF(AND($I302&lt;&gt;"",OR(LEN($I302)&lt;9,LEN($I302)&gt;15,NOT(ISNUMBER(--$I302)))),"Số điện thoại không hợp lệ","")))</f>
        <v/>
      </c>
      <c r="C302" s="20" t="n"/>
      <c r="D302" s="21" t="n"/>
      <c r="E302" s="22" t="n"/>
      <c r="F302" s="21" t="n"/>
      <c r="G302" s="21" t="n"/>
      <c r="H302" s="21" t="n"/>
      <c r="I302" s="20" t="n"/>
      <c r="J302" s="21" t="n"/>
      <c r="K302" s="21" t="n"/>
    </row>
    <row r="303">
      <c r="A303" s="19">
        <f>IF($C303="","CHƯA NHẬP",IF($B303="","HỢP LỆ","LỖI"))</f>
        <v/>
      </c>
      <c r="B303" s="19">
        <f>IF($C303="","",TEXTJOIN(" | ",TRUE,IF($C303="","Thiếu mã nhân viên",""),IF(COUNTIF($C$6:$C$505,$C303)&gt;1,"Trùng mã nhân viên",""),IF($D303="","Thiếu họ tên",""),IF(AND($E303&lt;&gt;"",OR(NOT(ISNUMBER($E303)),$E303&lt;DATE(1940,1,1),$E303&gt;TODAY())),"Ngày sinh không hợp lệ",""),IF(AND($G303&lt;&gt;"",OR(ISERROR(SEARCH("@",$G303)),ISERROR(SEARCH(".",$G303)))),"Email cá nhân không hợp lệ",""),IF(AND($H303&lt;&gt;"",OR(ISERROR(SEARCH("@",$H303)),ISERROR(SEARCH(".",$H303)))),"Email công ty không hợp lệ",""),IF(AND($I303&lt;&gt;"",OR(LEN($I303)&lt;9,LEN($I303)&gt;15,NOT(ISNUMBER(--$I303)))),"Số điện thoại không hợp lệ","")))</f>
        <v/>
      </c>
      <c r="C303" s="20" t="n"/>
      <c r="D303" s="21" t="n"/>
      <c r="E303" s="22" t="n"/>
      <c r="F303" s="21" t="n"/>
      <c r="G303" s="21" t="n"/>
      <c r="H303" s="21" t="n"/>
      <c r="I303" s="20" t="n"/>
      <c r="J303" s="21" t="n"/>
      <c r="K303" s="21" t="n"/>
    </row>
    <row r="304">
      <c r="A304" s="19">
        <f>IF($C304="","CHƯA NHẬP",IF($B304="","HỢP LỆ","LỖI"))</f>
        <v/>
      </c>
      <c r="B304" s="19">
        <f>IF($C304="","",TEXTJOIN(" | ",TRUE,IF($C304="","Thiếu mã nhân viên",""),IF(COUNTIF($C$6:$C$505,$C304)&gt;1,"Trùng mã nhân viên",""),IF($D304="","Thiếu họ tên",""),IF(AND($E304&lt;&gt;"",OR(NOT(ISNUMBER($E304)),$E304&lt;DATE(1940,1,1),$E304&gt;TODAY())),"Ngày sinh không hợp lệ",""),IF(AND($G304&lt;&gt;"",OR(ISERROR(SEARCH("@",$G304)),ISERROR(SEARCH(".",$G304)))),"Email cá nhân không hợp lệ",""),IF(AND($H304&lt;&gt;"",OR(ISERROR(SEARCH("@",$H304)),ISERROR(SEARCH(".",$H304)))),"Email công ty không hợp lệ",""),IF(AND($I304&lt;&gt;"",OR(LEN($I304)&lt;9,LEN($I304)&gt;15,NOT(ISNUMBER(--$I304)))),"Số điện thoại không hợp lệ","")))</f>
        <v/>
      </c>
      <c r="C304" s="20" t="n"/>
      <c r="D304" s="21" t="n"/>
      <c r="E304" s="22" t="n"/>
      <c r="F304" s="21" t="n"/>
      <c r="G304" s="21" t="n"/>
      <c r="H304" s="21" t="n"/>
      <c r="I304" s="20" t="n"/>
      <c r="J304" s="21" t="n"/>
      <c r="K304" s="21" t="n"/>
    </row>
    <row r="305">
      <c r="A305" s="19">
        <f>IF($C305="","CHƯA NHẬP",IF($B305="","HỢP LỆ","LỖI"))</f>
        <v/>
      </c>
      <c r="B305" s="19">
        <f>IF($C305="","",TEXTJOIN(" | ",TRUE,IF($C305="","Thiếu mã nhân viên",""),IF(COUNTIF($C$6:$C$505,$C305)&gt;1,"Trùng mã nhân viên",""),IF($D305="","Thiếu họ tên",""),IF(AND($E305&lt;&gt;"",OR(NOT(ISNUMBER($E305)),$E305&lt;DATE(1940,1,1),$E305&gt;TODAY())),"Ngày sinh không hợp lệ",""),IF(AND($G305&lt;&gt;"",OR(ISERROR(SEARCH("@",$G305)),ISERROR(SEARCH(".",$G305)))),"Email cá nhân không hợp lệ",""),IF(AND($H305&lt;&gt;"",OR(ISERROR(SEARCH("@",$H305)),ISERROR(SEARCH(".",$H305)))),"Email công ty không hợp lệ",""),IF(AND($I305&lt;&gt;"",OR(LEN($I305)&lt;9,LEN($I305)&gt;15,NOT(ISNUMBER(--$I305)))),"Số điện thoại không hợp lệ","")))</f>
        <v/>
      </c>
      <c r="C305" s="20" t="n"/>
      <c r="D305" s="21" t="n"/>
      <c r="E305" s="22" t="n"/>
      <c r="F305" s="21" t="n"/>
      <c r="G305" s="21" t="n"/>
      <c r="H305" s="21" t="n"/>
      <c r="I305" s="20" t="n"/>
      <c r="J305" s="21" t="n"/>
      <c r="K305" s="21" t="n"/>
    </row>
    <row r="306">
      <c r="A306" s="19">
        <f>IF($C306="","CHƯA NHẬP",IF($B306="","HỢP LỆ","LỖI"))</f>
        <v/>
      </c>
      <c r="B306" s="19">
        <f>IF($C306="","",TEXTJOIN(" | ",TRUE,IF($C306="","Thiếu mã nhân viên",""),IF(COUNTIF($C$6:$C$505,$C306)&gt;1,"Trùng mã nhân viên",""),IF($D306="","Thiếu họ tên",""),IF(AND($E306&lt;&gt;"",OR(NOT(ISNUMBER($E306)),$E306&lt;DATE(1940,1,1),$E306&gt;TODAY())),"Ngày sinh không hợp lệ",""),IF(AND($G306&lt;&gt;"",OR(ISERROR(SEARCH("@",$G306)),ISERROR(SEARCH(".",$G306)))),"Email cá nhân không hợp lệ",""),IF(AND($H306&lt;&gt;"",OR(ISERROR(SEARCH("@",$H306)),ISERROR(SEARCH(".",$H306)))),"Email công ty không hợp lệ",""),IF(AND($I306&lt;&gt;"",OR(LEN($I306)&lt;9,LEN($I306)&gt;15,NOT(ISNUMBER(--$I306)))),"Số điện thoại không hợp lệ","")))</f>
        <v/>
      </c>
      <c r="C306" s="20" t="n"/>
      <c r="D306" s="21" t="n"/>
      <c r="E306" s="22" t="n"/>
      <c r="F306" s="21" t="n"/>
      <c r="G306" s="21" t="n"/>
      <c r="H306" s="21" t="n"/>
      <c r="I306" s="20" t="n"/>
      <c r="J306" s="21" t="n"/>
      <c r="K306" s="21" t="n"/>
    </row>
    <row r="307">
      <c r="A307" s="19">
        <f>IF($C307="","CHƯA NHẬP",IF($B307="","HỢP LỆ","LỖI"))</f>
        <v/>
      </c>
      <c r="B307" s="19">
        <f>IF($C307="","",TEXTJOIN(" | ",TRUE,IF($C307="","Thiếu mã nhân viên",""),IF(COUNTIF($C$6:$C$505,$C307)&gt;1,"Trùng mã nhân viên",""),IF($D307="","Thiếu họ tên",""),IF(AND($E307&lt;&gt;"",OR(NOT(ISNUMBER($E307)),$E307&lt;DATE(1940,1,1),$E307&gt;TODAY())),"Ngày sinh không hợp lệ",""),IF(AND($G307&lt;&gt;"",OR(ISERROR(SEARCH("@",$G307)),ISERROR(SEARCH(".",$G307)))),"Email cá nhân không hợp lệ",""),IF(AND($H307&lt;&gt;"",OR(ISERROR(SEARCH("@",$H307)),ISERROR(SEARCH(".",$H307)))),"Email công ty không hợp lệ",""),IF(AND($I307&lt;&gt;"",OR(LEN($I307)&lt;9,LEN($I307)&gt;15,NOT(ISNUMBER(--$I307)))),"Số điện thoại không hợp lệ","")))</f>
        <v/>
      </c>
      <c r="C307" s="20" t="n"/>
      <c r="D307" s="21" t="n"/>
      <c r="E307" s="22" t="n"/>
      <c r="F307" s="21" t="n"/>
      <c r="G307" s="21" t="n"/>
      <c r="H307" s="21" t="n"/>
      <c r="I307" s="20" t="n"/>
      <c r="J307" s="21" t="n"/>
      <c r="K307" s="21" t="n"/>
    </row>
    <row r="308">
      <c r="A308" s="19">
        <f>IF($C308="","CHƯA NHẬP",IF($B308="","HỢP LỆ","LỖI"))</f>
        <v/>
      </c>
      <c r="B308" s="19">
        <f>IF($C308="","",TEXTJOIN(" | ",TRUE,IF($C308="","Thiếu mã nhân viên",""),IF(COUNTIF($C$6:$C$505,$C308)&gt;1,"Trùng mã nhân viên",""),IF($D308="","Thiếu họ tên",""),IF(AND($E308&lt;&gt;"",OR(NOT(ISNUMBER($E308)),$E308&lt;DATE(1940,1,1),$E308&gt;TODAY())),"Ngày sinh không hợp lệ",""),IF(AND($G308&lt;&gt;"",OR(ISERROR(SEARCH("@",$G308)),ISERROR(SEARCH(".",$G308)))),"Email cá nhân không hợp lệ",""),IF(AND($H308&lt;&gt;"",OR(ISERROR(SEARCH("@",$H308)),ISERROR(SEARCH(".",$H308)))),"Email công ty không hợp lệ",""),IF(AND($I308&lt;&gt;"",OR(LEN($I308)&lt;9,LEN($I308)&gt;15,NOT(ISNUMBER(--$I308)))),"Số điện thoại không hợp lệ","")))</f>
        <v/>
      </c>
      <c r="C308" s="20" t="n"/>
      <c r="D308" s="21" t="n"/>
      <c r="E308" s="22" t="n"/>
      <c r="F308" s="21" t="n"/>
      <c r="G308" s="21" t="n"/>
      <c r="H308" s="21" t="n"/>
      <c r="I308" s="20" t="n"/>
      <c r="J308" s="21" t="n"/>
      <c r="K308" s="21" t="n"/>
    </row>
    <row r="309">
      <c r="A309" s="19">
        <f>IF($C309="","CHƯA NHẬP",IF($B309="","HỢP LỆ","LỖI"))</f>
        <v/>
      </c>
      <c r="B309" s="19">
        <f>IF($C309="","",TEXTJOIN(" | ",TRUE,IF($C309="","Thiếu mã nhân viên",""),IF(COUNTIF($C$6:$C$505,$C309)&gt;1,"Trùng mã nhân viên",""),IF($D309="","Thiếu họ tên",""),IF(AND($E309&lt;&gt;"",OR(NOT(ISNUMBER($E309)),$E309&lt;DATE(1940,1,1),$E309&gt;TODAY())),"Ngày sinh không hợp lệ",""),IF(AND($G309&lt;&gt;"",OR(ISERROR(SEARCH("@",$G309)),ISERROR(SEARCH(".",$G309)))),"Email cá nhân không hợp lệ",""),IF(AND($H309&lt;&gt;"",OR(ISERROR(SEARCH("@",$H309)),ISERROR(SEARCH(".",$H309)))),"Email công ty không hợp lệ",""),IF(AND($I309&lt;&gt;"",OR(LEN($I309)&lt;9,LEN($I309)&gt;15,NOT(ISNUMBER(--$I309)))),"Số điện thoại không hợp lệ","")))</f>
        <v/>
      </c>
      <c r="C309" s="20" t="n"/>
      <c r="D309" s="21" t="n"/>
      <c r="E309" s="22" t="n"/>
      <c r="F309" s="21" t="n"/>
      <c r="G309" s="21" t="n"/>
      <c r="H309" s="21" t="n"/>
      <c r="I309" s="20" t="n"/>
      <c r="J309" s="21" t="n"/>
      <c r="K309" s="21" t="n"/>
    </row>
    <row r="310">
      <c r="A310" s="19">
        <f>IF($C310="","CHƯA NHẬP",IF($B310="","HỢP LỆ","LỖI"))</f>
        <v/>
      </c>
      <c r="B310" s="19">
        <f>IF($C310="","",TEXTJOIN(" | ",TRUE,IF($C310="","Thiếu mã nhân viên",""),IF(COUNTIF($C$6:$C$505,$C310)&gt;1,"Trùng mã nhân viên",""),IF($D310="","Thiếu họ tên",""),IF(AND($E310&lt;&gt;"",OR(NOT(ISNUMBER($E310)),$E310&lt;DATE(1940,1,1),$E310&gt;TODAY())),"Ngày sinh không hợp lệ",""),IF(AND($G310&lt;&gt;"",OR(ISERROR(SEARCH("@",$G310)),ISERROR(SEARCH(".",$G310)))),"Email cá nhân không hợp lệ",""),IF(AND($H310&lt;&gt;"",OR(ISERROR(SEARCH("@",$H310)),ISERROR(SEARCH(".",$H310)))),"Email công ty không hợp lệ",""),IF(AND($I310&lt;&gt;"",OR(LEN($I310)&lt;9,LEN($I310)&gt;15,NOT(ISNUMBER(--$I310)))),"Số điện thoại không hợp lệ","")))</f>
        <v/>
      </c>
      <c r="C310" s="20" t="n"/>
      <c r="D310" s="21" t="n"/>
      <c r="E310" s="22" t="n"/>
      <c r="F310" s="21" t="n"/>
      <c r="G310" s="21" t="n"/>
      <c r="H310" s="21" t="n"/>
      <c r="I310" s="20" t="n"/>
      <c r="J310" s="21" t="n"/>
      <c r="K310" s="21" t="n"/>
    </row>
    <row r="311">
      <c r="A311" s="19">
        <f>IF($C311="","CHƯA NHẬP",IF($B311="","HỢP LỆ","LỖI"))</f>
        <v/>
      </c>
      <c r="B311" s="19">
        <f>IF($C311="","",TEXTJOIN(" | ",TRUE,IF($C311="","Thiếu mã nhân viên",""),IF(COUNTIF($C$6:$C$505,$C311)&gt;1,"Trùng mã nhân viên",""),IF($D311="","Thiếu họ tên",""),IF(AND($E311&lt;&gt;"",OR(NOT(ISNUMBER($E311)),$E311&lt;DATE(1940,1,1),$E311&gt;TODAY())),"Ngày sinh không hợp lệ",""),IF(AND($G311&lt;&gt;"",OR(ISERROR(SEARCH("@",$G311)),ISERROR(SEARCH(".",$G311)))),"Email cá nhân không hợp lệ",""),IF(AND($H311&lt;&gt;"",OR(ISERROR(SEARCH("@",$H311)),ISERROR(SEARCH(".",$H311)))),"Email công ty không hợp lệ",""),IF(AND($I311&lt;&gt;"",OR(LEN($I311)&lt;9,LEN($I311)&gt;15,NOT(ISNUMBER(--$I311)))),"Số điện thoại không hợp lệ","")))</f>
        <v/>
      </c>
      <c r="C311" s="20" t="n"/>
      <c r="D311" s="21" t="n"/>
      <c r="E311" s="22" t="n"/>
      <c r="F311" s="21" t="n"/>
      <c r="G311" s="21" t="n"/>
      <c r="H311" s="21" t="n"/>
      <c r="I311" s="20" t="n"/>
      <c r="J311" s="21" t="n"/>
      <c r="K311" s="21" t="n"/>
    </row>
    <row r="312">
      <c r="A312" s="19">
        <f>IF($C312="","CHƯA NHẬP",IF($B312="","HỢP LỆ","LỖI"))</f>
        <v/>
      </c>
      <c r="B312" s="19">
        <f>IF($C312="","",TEXTJOIN(" | ",TRUE,IF($C312="","Thiếu mã nhân viên",""),IF(COUNTIF($C$6:$C$505,$C312)&gt;1,"Trùng mã nhân viên",""),IF($D312="","Thiếu họ tên",""),IF(AND($E312&lt;&gt;"",OR(NOT(ISNUMBER($E312)),$E312&lt;DATE(1940,1,1),$E312&gt;TODAY())),"Ngày sinh không hợp lệ",""),IF(AND($G312&lt;&gt;"",OR(ISERROR(SEARCH("@",$G312)),ISERROR(SEARCH(".",$G312)))),"Email cá nhân không hợp lệ",""),IF(AND($H312&lt;&gt;"",OR(ISERROR(SEARCH("@",$H312)),ISERROR(SEARCH(".",$H312)))),"Email công ty không hợp lệ",""),IF(AND($I312&lt;&gt;"",OR(LEN($I312)&lt;9,LEN($I312)&gt;15,NOT(ISNUMBER(--$I312)))),"Số điện thoại không hợp lệ","")))</f>
        <v/>
      </c>
      <c r="C312" s="20" t="n"/>
      <c r="D312" s="21" t="n"/>
      <c r="E312" s="22" t="n"/>
      <c r="F312" s="21" t="n"/>
      <c r="G312" s="21" t="n"/>
      <c r="H312" s="21" t="n"/>
      <c r="I312" s="20" t="n"/>
      <c r="J312" s="21" t="n"/>
      <c r="K312" s="21" t="n"/>
    </row>
    <row r="313">
      <c r="A313" s="19">
        <f>IF($C313="","CHƯA NHẬP",IF($B313="","HỢP LỆ","LỖI"))</f>
        <v/>
      </c>
      <c r="B313" s="19">
        <f>IF($C313="","",TEXTJOIN(" | ",TRUE,IF($C313="","Thiếu mã nhân viên",""),IF(COUNTIF($C$6:$C$505,$C313)&gt;1,"Trùng mã nhân viên",""),IF($D313="","Thiếu họ tên",""),IF(AND($E313&lt;&gt;"",OR(NOT(ISNUMBER($E313)),$E313&lt;DATE(1940,1,1),$E313&gt;TODAY())),"Ngày sinh không hợp lệ",""),IF(AND($G313&lt;&gt;"",OR(ISERROR(SEARCH("@",$G313)),ISERROR(SEARCH(".",$G313)))),"Email cá nhân không hợp lệ",""),IF(AND($H313&lt;&gt;"",OR(ISERROR(SEARCH("@",$H313)),ISERROR(SEARCH(".",$H313)))),"Email công ty không hợp lệ",""),IF(AND($I313&lt;&gt;"",OR(LEN($I313)&lt;9,LEN($I313)&gt;15,NOT(ISNUMBER(--$I313)))),"Số điện thoại không hợp lệ","")))</f>
        <v/>
      </c>
      <c r="C313" s="20" t="n"/>
      <c r="D313" s="21" t="n"/>
      <c r="E313" s="22" t="n"/>
      <c r="F313" s="21" t="n"/>
      <c r="G313" s="21" t="n"/>
      <c r="H313" s="21" t="n"/>
      <c r="I313" s="20" t="n"/>
      <c r="J313" s="21" t="n"/>
      <c r="K313" s="21" t="n"/>
    </row>
    <row r="314">
      <c r="A314" s="19">
        <f>IF($C314="","CHƯA NHẬP",IF($B314="","HỢP LỆ","LỖI"))</f>
        <v/>
      </c>
      <c r="B314" s="19">
        <f>IF($C314="","",TEXTJOIN(" | ",TRUE,IF($C314="","Thiếu mã nhân viên",""),IF(COUNTIF($C$6:$C$505,$C314)&gt;1,"Trùng mã nhân viên",""),IF($D314="","Thiếu họ tên",""),IF(AND($E314&lt;&gt;"",OR(NOT(ISNUMBER($E314)),$E314&lt;DATE(1940,1,1),$E314&gt;TODAY())),"Ngày sinh không hợp lệ",""),IF(AND($G314&lt;&gt;"",OR(ISERROR(SEARCH("@",$G314)),ISERROR(SEARCH(".",$G314)))),"Email cá nhân không hợp lệ",""),IF(AND($H314&lt;&gt;"",OR(ISERROR(SEARCH("@",$H314)),ISERROR(SEARCH(".",$H314)))),"Email công ty không hợp lệ",""),IF(AND($I314&lt;&gt;"",OR(LEN($I314)&lt;9,LEN($I314)&gt;15,NOT(ISNUMBER(--$I314)))),"Số điện thoại không hợp lệ","")))</f>
        <v/>
      </c>
      <c r="C314" s="20" t="n"/>
      <c r="D314" s="21" t="n"/>
      <c r="E314" s="22" t="n"/>
      <c r="F314" s="21" t="n"/>
      <c r="G314" s="21" t="n"/>
      <c r="H314" s="21" t="n"/>
      <c r="I314" s="20" t="n"/>
      <c r="J314" s="21" t="n"/>
      <c r="K314" s="21" t="n"/>
    </row>
    <row r="315">
      <c r="A315" s="19">
        <f>IF($C315="","CHƯA NHẬP",IF($B315="","HỢP LỆ","LỖI"))</f>
        <v/>
      </c>
      <c r="B315" s="19">
        <f>IF($C315="","",TEXTJOIN(" | ",TRUE,IF($C315="","Thiếu mã nhân viên",""),IF(COUNTIF($C$6:$C$505,$C315)&gt;1,"Trùng mã nhân viên",""),IF($D315="","Thiếu họ tên",""),IF(AND($E315&lt;&gt;"",OR(NOT(ISNUMBER($E315)),$E315&lt;DATE(1940,1,1),$E315&gt;TODAY())),"Ngày sinh không hợp lệ",""),IF(AND($G315&lt;&gt;"",OR(ISERROR(SEARCH("@",$G315)),ISERROR(SEARCH(".",$G315)))),"Email cá nhân không hợp lệ",""),IF(AND($H315&lt;&gt;"",OR(ISERROR(SEARCH("@",$H315)),ISERROR(SEARCH(".",$H315)))),"Email công ty không hợp lệ",""),IF(AND($I315&lt;&gt;"",OR(LEN($I315)&lt;9,LEN($I315)&gt;15,NOT(ISNUMBER(--$I315)))),"Số điện thoại không hợp lệ","")))</f>
        <v/>
      </c>
      <c r="C315" s="20" t="n"/>
      <c r="D315" s="21" t="n"/>
      <c r="E315" s="22" t="n"/>
      <c r="F315" s="21" t="n"/>
      <c r="G315" s="21" t="n"/>
      <c r="H315" s="21" t="n"/>
      <c r="I315" s="20" t="n"/>
      <c r="J315" s="21" t="n"/>
      <c r="K315" s="21" t="n"/>
    </row>
    <row r="316">
      <c r="A316" s="19">
        <f>IF($C316="","CHƯA NHẬP",IF($B316="","HỢP LỆ","LỖI"))</f>
        <v/>
      </c>
      <c r="B316" s="19">
        <f>IF($C316="","",TEXTJOIN(" | ",TRUE,IF($C316="","Thiếu mã nhân viên",""),IF(COUNTIF($C$6:$C$505,$C316)&gt;1,"Trùng mã nhân viên",""),IF($D316="","Thiếu họ tên",""),IF(AND($E316&lt;&gt;"",OR(NOT(ISNUMBER($E316)),$E316&lt;DATE(1940,1,1),$E316&gt;TODAY())),"Ngày sinh không hợp lệ",""),IF(AND($G316&lt;&gt;"",OR(ISERROR(SEARCH("@",$G316)),ISERROR(SEARCH(".",$G316)))),"Email cá nhân không hợp lệ",""),IF(AND($H316&lt;&gt;"",OR(ISERROR(SEARCH("@",$H316)),ISERROR(SEARCH(".",$H316)))),"Email công ty không hợp lệ",""),IF(AND($I316&lt;&gt;"",OR(LEN($I316)&lt;9,LEN($I316)&gt;15,NOT(ISNUMBER(--$I316)))),"Số điện thoại không hợp lệ","")))</f>
        <v/>
      </c>
      <c r="C316" s="20" t="n"/>
      <c r="D316" s="21" t="n"/>
      <c r="E316" s="22" t="n"/>
      <c r="F316" s="21" t="n"/>
      <c r="G316" s="21" t="n"/>
      <c r="H316" s="21" t="n"/>
      <c r="I316" s="20" t="n"/>
      <c r="J316" s="21" t="n"/>
      <c r="K316" s="21" t="n"/>
    </row>
    <row r="317">
      <c r="A317" s="19">
        <f>IF($C317="","CHƯA NHẬP",IF($B317="","HỢP LỆ","LỖI"))</f>
        <v/>
      </c>
      <c r="B317" s="19">
        <f>IF($C317="","",TEXTJOIN(" | ",TRUE,IF($C317="","Thiếu mã nhân viên",""),IF(COUNTIF($C$6:$C$505,$C317)&gt;1,"Trùng mã nhân viên",""),IF($D317="","Thiếu họ tên",""),IF(AND($E317&lt;&gt;"",OR(NOT(ISNUMBER($E317)),$E317&lt;DATE(1940,1,1),$E317&gt;TODAY())),"Ngày sinh không hợp lệ",""),IF(AND($G317&lt;&gt;"",OR(ISERROR(SEARCH("@",$G317)),ISERROR(SEARCH(".",$G317)))),"Email cá nhân không hợp lệ",""),IF(AND($H317&lt;&gt;"",OR(ISERROR(SEARCH("@",$H317)),ISERROR(SEARCH(".",$H317)))),"Email công ty không hợp lệ",""),IF(AND($I317&lt;&gt;"",OR(LEN($I317)&lt;9,LEN($I317)&gt;15,NOT(ISNUMBER(--$I317)))),"Số điện thoại không hợp lệ","")))</f>
        <v/>
      </c>
      <c r="C317" s="20" t="n"/>
      <c r="D317" s="21" t="n"/>
      <c r="E317" s="22" t="n"/>
      <c r="F317" s="21" t="n"/>
      <c r="G317" s="21" t="n"/>
      <c r="H317" s="21" t="n"/>
      <c r="I317" s="20" t="n"/>
      <c r="J317" s="21" t="n"/>
      <c r="K317" s="21" t="n"/>
    </row>
    <row r="318">
      <c r="A318" s="19">
        <f>IF($C318="","CHƯA NHẬP",IF($B318="","HỢP LỆ","LỖI"))</f>
        <v/>
      </c>
      <c r="B318" s="19">
        <f>IF($C318="","",TEXTJOIN(" | ",TRUE,IF($C318="","Thiếu mã nhân viên",""),IF(COUNTIF($C$6:$C$505,$C318)&gt;1,"Trùng mã nhân viên",""),IF($D318="","Thiếu họ tên",""),IF(AND($E318&lt;&gt;"",OR(NOT(ISNUMBER($E318)),$E318&lt;DATE(1940,1,1),$E318&gt;TODAY())),"Ngày sinh không hợp lệ",""),IF(AND($G318&lt;&gt;"",OR(ISERROR(SEARCH("@",$G318)),ISERROR(SEARCH(".",$G318)))),"Email cá nhân không hợp lệ",""),IF(AND($H318&lt;&gt;"",OR(ISERROR(SEARCH("@",$H318)),ISERROR(SEARCH(".",$H318)))),"Email công ty không hợp lệ",""),IF(AND($I318&lt;&gt;"",OR(LEN($I318)&lt;9,LEN($I318)&gt;15,NOT(ISNUMBER(--$I318)))),"Số điện thoại không hợp lệ","")))</f>
        <v/>
      </c>
      <c r="C318" s="20" t="n"/>
      <c r="D318" s="21" t="n"/>
      <c r="E318" s="22" t="n"/>
      <c r="F318" s="21" t="n"/>
      <c r="G318" s="21" t="n"/>
      <c r="H318" s="21" t="n"/>
      <c r="I318" s="20" t="n"/>
      <c r="J318" s="21" t="n"/>
      <c r="K318" s="21" t="n"/>
    </row>
    <row r="319">
      <c r="A319" s="19">
        <f>IF($C319="","CHƯA NHẬP",IF($B319="","HỢP LỆ","LỖI"))</f>
        <v/>
      </c>
      <c r="B319" s="19">
        <f>IF($C319="","",TEXTJOIN(" | ",TRUE,IF($C319="","Thiếu mã nhân viên",""),IF(COUNTIF($C$6:$C$505,$C319)&gt;1,"Trùng mã nhân viên",""),IF($D319="","Thiếu họ tên",""),IF(AND($E319&lt;&gt;"",OR(NOT(ISNUMBER($E319)),$E319&lt;DATE(1940,1,1),$E319&gt;TODAY())),"Ngày sinh không hợp lệ",""),IF(AND($G319&lt;&gt;"",OR(ISERROR(SEARCH("@",$G319)),ISERROR(SEARCH(".",$G319)))),"Email cá nhân không hợp lệ",""),IF(AND($H319&lt;&gt;"",OR(ISERROR(SEARCH("@",$H319)),ISERROR(SEARCH(".",$H319)))),"Email công ty không hợp lệ",""),IF(AND($I319&lt;&gt;"",OR(LEN($I319)&lt;9,LEN($I319)&gt;15,NOT(ISNUMBER(--$I319)))),"Số điện thoại không hợp lệ","")))</f>
        <v/>
      </c>
      <c r="C319" s="20" t="n"/>
      <c r="D319" s="21" t="n"/>
      <c r="E319" s="22" t="n"/>
      <c r="F319" s="21" t="n"/>
      <c r="G319" s="21" t="n"/>
      <c r="H319" s="21" t="n"/>
      <c r="I319" s="20" t="n"/>
      <c r="J319" s="21" t="n"/>
      <c r="K319" s="21" t="n"/>
    </row>
    <row r="320">
      <c r="A320" s="19">
        <f>IF($C320="","CHƯA NHẬP",IF($B320="","HỢP LỆ","LỖI"))</f>
        <v/>
      </c>
      <c r="B320" s="19">
        <f>IF($C320="","",TEXTJOIN(" | ",TRUE,IF($C320="","Thiếu mã nhân viên",""),IF(COUNTIF($C$6:$C$505,$C320)&gt;1,"Trùng mã nhân viên",""),IF($D320="","Thiếu họ tên",""),IF(AND($E320&lt;&gt;"",OR(NOT(ISNUMBER($E320)),$E320&lt;DATE(1940,1,1),$E320&gt;TODAY())),"Ngày sinh không hợp lệ",""),IF(AND($G320&lt;&gt;"",OR(ISERROR(SEARCH("@",$G320)),ISERROR(SEARCH(".",$G320)))),"Email cá nhân không hợp lệ",""),IF(AND($H320&lt;&gt;"",OR(ISERROR(SEARCH("@",$H320)),ISERROR(SEARCH(".",$H320)))),"Email công ty không hợp lệ",""),IF(AND($I320&lt;&gt;"",OR(LEN($I320)&lt;9,LEN($I320)&gt;15,NOT(ISNUMBER(--$I320)))),"Số điện thoại không hợp lệ","")))</f>
        <v/>
      </c>
      <c r="C320" s="20" t="n"/>
      <c r="D320" s="21" t="n"/>
      <c r="E320" s="22" t="n"/>
      <c r="F320" s="21" t="n"/>
      <c r="G320" s="21" t="n"/>
      <c r="H320" s="21" t="n"/>
      <c r="I320" s="20" t="n"/>
      <c r="J320" s="21" t="n"/>
      <c r="K320" s="21" t="n"/>
    </row>
    <row r="321">
      <c r="A321" s="19">
        <f>IF($C321="","CHƯA NHẬP",IF($B321="","HỢP LỆ","LỖI"))</f>
        <v/>
      </c>
      <c r="B321" s="19">
        <f>IF($C321="","",TEXTJOIN(" | ",TRUE,IF($C321="","Thiếu mã nhân viên",""),IF(COUNTIF($C$6:$C$505,$C321)&gt;1,"Trùng mã nhân viên",""),IF($D321="","Thiếu họ tên",""),IF(AND($E321&lt;&gt;"",OR(NOT(ISNUMBER($E321)),$E321&lt;DATE(1940,1,1),$E321&gt;TODAY())),"Ngày sinh không hợp lệ",""),IF(AND($G321&lt;&gt;"",OR(ISERROR(SEARCH("@",$G321)),ISERROR(SEARCH(".",$G321)))),"Email cá nhân không hợp lệ",""),IF(AND($H321&lt;&gt;"",OR(ISERROR(SEARCH("@",$H321)),ISERROR(SEARCH(".",$H321)))),"Email công ty không hợp lệ",""),IF(AND($I321&lt;&gt;"",OR(LEN($I321)&lt;9,LEN($I321)&gt;15,NOT(ISNUMBER(--$I321)))),"Số điện thoại không hợp lệ","")))</f>
        <v/>
      </c>
      <c r="C321" s="20" t="n"/>
      <c r="D321" s="21" t="n"/>
      <c r="E321" s="22" t="n"/>
      <c r="F321" s="21" t="n"/>
      <c r="G321" s="21" t="n"/>
      <c r="H321" s="21" t="n"/>
      <c r="I321" s="20" t="n"/>
      <c r="J321" s="21" t="n"/>
      <c r="K321" s="21" t="n"/>
    </row>
    <row r="322">
      <c r="A322" s="19">
        <f>IF($C322="","CHƯA NHẬP",IF($B322="","HỢP LỆ","LỖI"))</f>
        <v/>
      </c>
      <c r="B322" s="19">
        <f>IF($C322="","",TEXTJOIN(" | ",TRUE,IF($C322="","Thiếu mã nhân viên",""),IF(COUNTIF($C$6:$C$505,$C322)&gt;1,"Trùng mã nhân viên",""),IF($D322="","Thiếu họ tên",""),IF(AND($E322&lt;&gt;"",OR(NOT(ISNUMBER($E322)),$E322&lt;DATE(1940,1,1),$E322&gt;TODAY())),"Ngày sinh không hợp lệ",""),IF(AND($G322&lt;&gt;"",OR(ISERROR(SEARCH("@",$G322)),ISERROR(SEARCH(".",$G322)))),"Email cá nhân không hợp lệ",""),IF(AND($H322&lt;&gt;"",OR(ISERROR(SEARCH("@",$H322)),ISERROR(SEARCH(".",$H322)))),"Email công ty không hợp lệ",""),IF(AND($I322&lt;&gt;"",OR(LEN($I322)&lt;9,LEN($I322)&gt;15,NOT(ISNUMBER(--$I322)))),"Số điện thoại không hợp lệ","")))</f>
        <v/>
      </c>
      <c r="C322" s="20" t="n"/>
      <c r="D322" s="21" t="n"/>
      <c r="E322" s="22" t="n"/>
      <c r="F322" s="21" t="n"/>
      <c r="G322" s="21" t="n"/>
      <c r="H322" s="21" t="n"/>
      <c r="I322" s="20" t="n"/>
      <c r="J322" s="21" t="n"/>
      <c r="K322" s="21" t="n"/>
    </row>
    <row r="323">
      <c r="A323" s="19">
        <f>IF($C323="","CHƯA NHẬP",IF($B323="","HỢP LỆ","LỖI"))</f>
        <v/>
      </c>
      <c r="B323" s="19">
        <f>IF($C323="","",TEXTJOIN(" | ",TRUE,IF($C323="","Thiếu mã nhân viên",""),IF(COUNTIF($C$6:$C$505,$C323)&gt;1,"Trùng mã nhân viên",""),IF($D323="","Thiếu họ tên",""),IF(AND($E323&lt;&gt;"",OR(NOT(ISNUMBER($E323)),$E323&lt;DATE(1940,1,1),$E323&gt;TODAY())),"Ngày sinh không hợp lệ",""),IF(AND($G323&lt;&gt;"",OR(ISERROR(SEARCH("@",$G323)),ISERROR(SEARCH(".",$G323)))),"Email cá nhân không hợp lệ",""),IF(AND($H323&lt;&gt;"",OR(ISERROR(SEARCH("@",$H323)),ISERROR(SEARCH(".",$H323)))),"Email công ty không hợp lệ",""),IF(AND($I323&lt;&gt;"",OR(LEN($I323)&lt;9,LEN($I323)&gt;15,NOT(ISNUMBER(--$I323)))),"Số điện thoại không hợp lệ","")))</f>
        <v/>
      </c>
      <c r="C323" s="20" t="n"/>
      <c r="D323" s="21" t="n"/>
      <c r="E323" s="22" t="n"/>
      <c r="F323" s="21" t="n"/>
      <c r="G323" s="21" t="n"/>
      <c r="H323" s="21" t="n"/>
      <c r="I323" s="20" t="n"/>
      <c r="J323" s="21" t="n"/>
      <c r="K323" s="21" t="n"/>
    </row>
    <row r="324">
      <c r="A324" s="19">
        <f>IF($C324="","CHƯA NHẬP",IF($B324="","HỢP LỆ","LỖI"))</f>
        <v/>
      </c>
      <c r="B324" s="19">
        <f>IF($C324="","",TEXTJOIN(" | ",TRUE,IF($C324="","Thiếu mã nhân viên",""),IF(COUNTIF($C$6:$C$505,$C324)&gt;1,"Trùng mã nhân viên",""),IF($D324="","Thiếu họ tên",""),IF(AND($E324&lt;&gt;"",OR(NOT(ISNUMBER($E324)),$E324&lt;DATE(1940,1,1),$E324&gt;TODAY())),"Ngày sinh không hợp lệ",""),IF(AND($G324&lt;&gt;"",OR(ISERROR(SEARCH("@",$G324)),ISERROR(SEARCH(".",$G324)))),"Email cá nhân không hợp lệ",""),IF(AND($H324&lt;&gt;"",OR(ISERROR(SEARCH("@",$H324)),ISERROR(SEARCH(".",$H324)))),"Email công ty không hợp lệ",""),IF(AND($I324&lt;&gt;"",OR(LEN($I324)&lt;9,LEN($I324)&gt;15,NOT(ISNUMBER(--$I324)))),"Số điện thoại không hợp lệ","")))</f>
        <v/>
      </c>
      <c r="C324" s="20" t="n"/>
      <c r="D324" s="21" t="n"/>
      <c r="E324" s="22" t="n"/>
      <c r="F324" s="21" t="n"/>
      <c r="G324" s="21" t="n"/>
      <c r="H324" s="21" t="n"/>
      <c r="I324" s="20" t="n"/>
      <c r="J324" s="21" t="n"/>
      <c r="K324" s="21" t="n"/>
    </row>
    <row r="325">
      <c r="A325" s="19">
        <f>IF($C325="","CHƯA NHẬP",IF($B325="","HỢP LỆ","LỖI"))</f>
        <v/>
      </c>
      <c r="B325" s="19">
        <f>IF($C325="","",TEXTJOIN(" | ",TRUE,IF($C325="","Thiếu mã nhân viên",""),IF(COUNTIF($C$6:$C$505,$C325)&gt;1,"Trùng mã nhân viên",""),IF($D325="","Thiếu họ tên",""),IF(AND($E325&lt;&gt;"",OR(NOT(ISNUMBER($E325)),$E325&lt;DATE(1940,1,1),$E325&gt;TODAY())),"Ngày sinh không hợp lệ",""),IF(AND($G325&lt;&gt;"",OR(ISERROR(SEARCH("@",$G325)),ISERROR(SEARCH(".",$G325)))),"Email cá nhân không hợp lệ",""),IF(AND($H325&lt;&gt;"",OR(ISERROR(SEARCH("@",$H325)),ISERROR(SEARCH(".",$H325)))),"Email công ty không hợp lệ",""),IF(AND($I325&lt;&gt;"",OR(LEN($I325)&lt;9,LEN($I325)&gt;15,NOT(ISNUMBER(--$I325)))),"Số điện thoại không hợp lệ","")))</f>
        <v/>
      </c>
      <c r="C325" s="20" t="n"/>
      <c r="D325" s="21" t="n"/>
      <c r="E325" s="22" t="n"/>
      <c r="F325" s="21" t="n"/>
      <c r="G325" s="21" t="n"/>
      <c r="H325" s="21" t="n"/>
      <c r="I325" s="20" t="n"/>
      <c r="J325" s="21" t="n"/>
      <c r="K325" s="21" t="n"/>
    </row>
    <row r="326">
      <c r="A326" s="19">
        <f>IF($C326="","CHƯA NHẬP",IF($B326="","HỢP LỆ","LỖI"))</f>
        <v/>
      </c>
      <c r="B326" s="19">
        <f>IF($C326="","",TEXTJOIN(" | ",TRUE,IF($C326="","Thiếu mã nhân viên",""),IF(COUNTIF($C$6:$C$505,$C326)&gt;1,"Trùng mã nhân viên",""),IF($D326="","Thiếu họ tên",""),IF(AND($E326&lt;&gt;"",OR(NOT(ISNUMBER($E326)),$E326&lt;DATE(1940,1,1),$E326&gt;TODAY())),"Ngày sinh không hợp lệ",""),IF(AND($G326&lt;&gt;"",OR(ISERROR(SEARCH("@",$G326)),ISERROR(SEARCH(".",$G326)))),"Email cá nhân không hợp lệ",""),IF(AND($H326&lt;&gt;"",OR(ISERROR(SEARCH("@",$H326)),ISERROR(SEARCH(".",$H326)))),"Email công ty không hợp lệ",""),IF(AND($I326&lt;&gt;"",OR(LEN($I326)&lt;9,LEN($I326)&gt;15,NOT(ISNUMBER(--$I326)))),"Số điện thoại không hợp lệ","")))</f>
        <v/>
      </c>
      <c r="C326" s="20" t="n"/>
      <c r="D326" s="21" t="n"/>
      <c r="E326" s="22" t="n"/>
      <c r="F326" s="21" t="n"/>
      <c r="G326" s="21" t="n"/>
      <c r="H326" s="21" t="n"/>
      <c r="I326" s="20" t="n"/>
      <c r="J326" s="21" t="n"/>
      <c r="K326" s="21" t="n"/>
    </row>
    <row r="327">
      <c r="A327" s="19">
        <f>IF($C327="","CHƯA NHẬP",IF($B327="","HỢP LỆ","LỖI"))</f>
        <v/>
      </c>
      <c r="B327" s="19">
        <f>IF($C327="","",TEXTJOIN(" | ",TRUE,IF($C327="","Thiếu mã nhân viên",""),IF(COUNTIF($C$6:$C$505,$C327)&gt;1,"Trùng mã nhân viên",""),IF($D327="","Thiếu họ tên",""),IF(AND($E327&lt;&gt;"",OR(NOT(ISNUMBER($E327)),$E327&lt;DATE(1940,1,1),$E327&gt;TODAY())),"Ngày sinh không hợp lệ",""),IF(AND($G327&lt;&gt;"",OR(ISERROR(SEARCH("@",$G327)),ISERROR(SEARCH(".",$G327)))),"Email cá nhân không hợp lệ",""),IF(AND($H327&lt;&gt;"",OR(ISERROR(SEARCH("@",$H327)),ISERROR(SEARCH(".",$H327)))),"Email công ty không hợp lệ",""),IF(AND($I327&lt;&gt;"",OR(LEN($I327)&lt;9,LEN($I327)&gt;15,NOT(ISNUMBER(--$I327)))),"Số điện thoại không hợp lệ","")))</f>
        <v/>
      </c>
      <c r="C327" s="20" t="n"/>
      <c r="D327" s="21" t="n"/>
      <c r="E327" s="22" t="n"/>
      <c r="F327" s="21" t="n"/>
      <c r="G327" s="21" t="n"/>
      <c r="H327" s="21" t="n"/>
      <c r="I327" s="20" t="n"/>
      <c r="J327" s="21" t="n"/>
      <c r="K327" s="21" t="n"/>
    </row>
    <row r="328">
      <c r="A328" s="19">
        <f>IF($C328="","CHƯA NHẬP",IF($B328="","HỢP LỆ","LỖI"))</f>
        <v/>
      </c>
      <c r="B328" s="19">
        <f>IF($C328="","",TEXTJOIN(" | ",TRUE,IF($C328="","Thiếu mã nhân viên",""),IF(COUNTIF($C$6:$C$505,$C328)&gt;1,"Trùng mã nhân viên",""),IF($D328="","Thiếu họ tên",""),IF(AND($E328&lt;&gt;"",OR(NOT(ISNUMBER($E328)),$E328&lt;DATE(1940,1,1),$E328&gt;TODAY())),"Ngày sinh không hợp lệ",""),IF(AND($G328&lt;&gt;"",OR(ISERROR(SEARCH("@",$G328)),ISERROR(SEARCH(".",$G328)))),"Email cá nhân không hợp lệ",""),IF(AND($H328&lt;&gt;"",OR(ISERROR(SEARCH("@",$H328)),ISERROR(SEARCH(".",$H328)))),"Email công ty không hợp lệ",""),IF(AND($I328&lt;&gt;"",OR(LEN($I328)&lt;9,LEN($I328)&gt;15,NOT(ISNUMBER(--$I328)))),"Số điện thoại không hợp lệ","")))</f>
        <v/>
      </c>
      <c r="C328" s="20" t="n"/>
      <c r="D328" s="21" t="n"/>
      <c r="E328" s="22" t="n"/>
      <c r="F328" s="21" t="n"/>
      <c r="G328" s="21" t="n"/>
      <c r="H328" s="21" t="n"/>
      <c r="I328" s="20" t="n"/>
      <c r="J328" s="21" t="n"/>
      <c r="K328" s="21" t="n"/>
    </row>
    <row r="329">
      <c r="A329" s="19">
        <f>IF($C329="","CHƯA NHẬP",IF($B329="","HỢP LỆ","LỖI"))</f>
        <v/>
      </c>
      <c r="B329" s="19">
        <f>IF($C329="","",TEXTJOIN(" | ",TRUE,IF($C329="","Thiếu mã nhân viên",""),IF(COUNTIF($C$6:$C$505,$C329)&gt;1,"Trùng mã nhân viên",""),IF($D329="","Thiếu họ tên",""),IF(AND($E329&lt;&gt;"",OR(NOT(ISNUMBER($E329)),$E329&lt;DATE(1940,1,1),$E329&gt;TODAY())),"Ngày sinh không hợp lệ",""),IF(AND($G329&lt;&gt;"",OR(ISERROR(SEARCH("@",$G329)),ISERROR(SEARCH(".",$G329)))),"Email cá nhân không hợp lệ",""),IF(AND($H329&lt;&gt;"",OR(ISERROR(SEARCH("@",$H329)),ISERROR(SEARCH(".",$H329)))),"Email công ty không hợp lệ",""),IF(AND($I329&lt;&gt;"",OR(LEN($I329)&lt;9,LEN($I329)&gt;15,NOT(ISNUMBER(--$I329)))),"Số điện thoại không hợp lệ","")))</f>
        <v/>
      </c>
      <c r="C329" s="20" t="n"/>
      <c r="D329" s="21" t="n"/>
      <c r="E329" s="22" t="n"/>
      <c r="F329" s="21" t="n"/>
      <c r="G329" s="21" t="n"/>
      <c r="H329" s="21" t="n"/>
      <c r="I329" s="20" t="n"/>
      <c r="J329" s="21" t="n"/>
      <c r="K329" s="21" t="n"/>
    </row>
    <row r="330">
      <c r="A330" s="19">
        <f>IF($C330="","CHƯA NHẬP",IF($B330="","HỢP LỆ","LỖI"))</f>
        <v/>
      </c>
      <c r="B330" s="19">
        <f>IF($C330="","",TEXTJOIN(" | ",TRUE,IF($C330="","Thiếu mã nhân viên",""),IF(COUNTIF($C$6:$C$505,$C330)&gt;1,"Trùng mã nhân viên",""),IF($D330="","Thiếu họ tên",""),IF(AND($E330&lt;&gt;"",OR(NOT(ISNUMBER($E330)),$E330&lt;DATE(1940,1,1),$E330&gt;TODAY())),"Ngày sinh không hợp lệ",""),IF(AND($G330&lt;&gt;"",OR(ISERROR(SEARCH("@",$G330)),ISERROR(SEARCH(".",$G330)))),"Email cá nhân không hợp lệ",""),IF(AND($H330&lt;&gt;"",OR(ISERROR(SEARCH("@",$H330)),ISERROR(SEARCH(".",$H330)))),"Email công ty không hợp lệ",""),IF(AND($I330&lt;&gt;"",OR(LEN($I330)&lt;9,LEN($I330)&gt;15,NOT(ISNUMBER(--$I330)))),"Số điện thoại không hợp lệ","")))</f>
        <v/>
      </c>
      <c r="C330" s="20" t="n"/>
      <c r="D330" s="21" t="n"/>
      <c r="E330" s="22" t="n"/>
      <c r="F330" s="21" t="n"/>
      <c r="G330" s="21" t="n"/>
      <c r="H330" s="21" t="n"/>
      <c r="I330" s="20" t="n"/>
      <c r="J330" s="21" t="n"/>
      <c r="K330" s="21" t="n"/>
    </row>
    <row r="331">
      <c r="A331" s="19">
        <f>IF($C331="","CHƯA NHẬP",IF($B331="","HỢP LỆ","LỖI"))</f>
        <v/>
      </c>
      <c r="B331" s="19">
        <f>IF($C331="","",TEXTJOIN(" | ",TRUE,IF($C331="","Thiếu mã nhân viên",""),IF(COUNTIF($C$6:$C$505,$C331)&gt;1,"Trùng mã nhân viên",""),IF($D331="","Thiếu họ tên",""),IF(AND($E331&lt;&gt;"",OR(NOT(ISNUMBER($E331)),$E331&lt;DATE(1940,1,1),$E331&gt;TODAY())),"Ngày sinh không hợp lệ",""),IF(AND($G331&lt;&gt;"",OR(ISERROR(SEARCH("@",$G331)),ISERROR(SEARCH(".",$G331)))),"Email cá nhân không hợp lệ",""),IF(AND($H331&lt;&gt;"",OR(ISERROR(SEARCH("@",$H331)),ISERROR(SEARCH(".",$H331)))),"Email công ty không hợp lệ",""),IF(AND($I331&lt;&gt;"",OR(LEN($I331)&lt;9,LEN($I331)&gt;15,NOT(ISNUMBER(--$I331)))),"Số điện thoại không hợp lệ","")))</f>
        <v/>
      </c>
      <c r="C331" s="20" t="n"/>
      <c r="D331" s="21" t="n"/>
      <c r="E331" s="22" t="n"/>
      <c r="F331" s="21" t="n"/>
      <c r="G331" s="21" t="n"/>
      <c r="H331" s="21" t="n"/>
      <c r="I331" s="20" t="n"/>
      <c r="J331" s="21" t="n"/>
      <c r="K331" s="21" t="n"/>
    </row>
    <row r="332">
      <c r="A332" s="19">
        <f>IF($C332="","CHƯA NHẬP",IF($B332="","HỢP LỆ","LỖI"))</f>
        <v/>
      </c>
      <c r="B332" s="19">
        <f>IF($C332="","",TEXTJOIN(" | ",TRUE,IF($C332="","Thiếu mã nhân viên",""),IF(COUNTIF($C$6:$C$505,$C332)&gt;1,"Trùng mã nhân viên",""),IF($D332="","Thiếu họ tên",""),IF(AND($E332&lt;&gt;"",OR(NOT(ISNUMBER($E332)),$E332&lt;DATE(1940,1,1),$E332&gt;TODAY())),"Ngày sinh không hợp lệ",""),IF(AND($G332&lt;&gt;"",OR(ISERROR(SEARCH("@",$G332)),ISERROR(SEARCH(".",$G332)))),"Email cá nhân không hợp lệ",""),IF(AND($H332&lt;&gt;"",OR(ISERROR(SEARCH("@",$H332)),ISERROR(SEARCH(".",$H332)))),"Email công ty không hợp lệ",""),IF(AND($I332&lt;&gt;"",OR(LEN($I332)&lt;9,LEN($I332)&gt;15,NOT(ISNUMBER(--$I332)))),"Số điện thoại không hợp lệ","")))</f>
        <v/>
      </c>
      <c r="C332" s="20" t="n"/>
      <c r="D332" s="21" t="n"/>
      <c r="E332" s="22" t="n"/>
      <c r="F332" s="21" t="n"/>
      <c r="G332" s="21" t="n"/>
      <c r="H332" s="21" t="n"/>
      <c r="I332" s="20" t="n"/>
      <c r="J332" s="21" t="n"/>
      <c r="K332" s="21" t="n"/>
    </row>
    <row r="333">
      <c r="A333" s="19">
        <f>IF($C333="","CHƯA NHẬP",IF($B333="","HỢP LỆ","LỖI"))</f>
        <v/>
      </c>
      <c r="B333" s="19">
        <f>IF($C333="","",TEXTJOIN(" | ",TRUE,IF($C333="","Thiếu mã nhân viên",""),IF(COUNTIF($C$6:$C$505,$C333)&gt;1,"Trùng mã nhân viên",""),IF($D333="","Thiếu họ tên",""),IF(AND($E333&lt;&gt;"",OR(NOT(ISNUMBER($E333)),$E333&lt;DATE(1940,1,1),$E333&gt;TODAY())),"Ngày sinh không hợp lệ",""),IF(AND($G333&lt;&gt;"",OR(ISERROR(SEARCH("@",$G333)),ISERROR(SEARCH(".",$G333)))),"Email cá nhân không hợp lệ",""),IF(AND($H333&lt;&gt;"",OR(ISERROR(SEARCH("@",$H333)),ISERROR(SEARCH(".",$H333)))),"Email công ty không hợp lệ",""),IF(AND($I333&lt;&gt;"",OR(LEN($I333)&lt;9,LEN($I333)&gt;15,NOT(ISNUMBER(--$I333)))),"Số điện thoại không hợp lệ","")))</f>
        <v/>
      </c>
      <c r="C333" s="20" t="n"/>
      <c r="D333" s="21" t="n"/>
      <c r="E333" s="22" t="n"/>
      <c r="F333" s="21" t="n"/>
      <c r="G333" s="21" t="n"/>
      <c r="H333" s="21" t="n"/>
      <c r="I333" s="20" t="n"/>
      <c r="J333" s="21" t="n"/>
      <c r="K333" s="21" t="n"/>
    </row>
    <row r="334">
      <c r="A334" s="19">
        <f>IF($C334="","CHƯA NHẬP",IF($B334="","HỢP LỆ","LỖI"))</f>
        <v/>
      </c>
      <c r="B334" s="19">
        <f>IF($C334="","",TEXTJOIN(" | ",TRUE,IF($C334="","Thiếu mã nhân viên",""),IF(COUNTIF($C$6:$C$505,$C334)&gt;1,"Trùng mã nhân viên",""),IF($D334="","Thiếu họ tên",""),IF(AND($E334&lt;&gt;"",OR(NOT(ISNUMBER($E334)),$E334&lt;DATE(1940,1,1),$E334&gt;TODAY())),"Ngày sinh không hợp lệ",""),IF(AND($G334&lt;&gt;"",OR(ISERROR(SEARCH("@",$G334)),ISERROR(SEARCH(".",$G334)))),"Email cá nhân không hợp lệ",""),IF(AND($H334&lt;&gt;"",OR(ISERROR(SEARCH("@",$H334)),ISERROR(SEARCH(".",$H334)))),"Email công ty không hợp lệ",""),IF(AND($I334&lt;&gt;"",OR(LEN($I334)&lt;9,LEN($I334)&gt;15,NOT(ISNUMBER(--$I334)))),"Số điện thoại không hợp lệ","")))</f>
        <v/>
      </c>
      <c r="C334" s="20" t="n"/>
      <c r="D334" s="21" t="n"/>
      <c r="E334" s="22" t="n"/>
      <c r="F334" s="21" t="n"/>
      <c r="G334" s="21" t="n"/>
      <c r="H334" s="21" t="n"/>
      <c r="I334" s="20" t="n"/>
      <c r="J334" s="21" t="n"/>
      <c r="K334" s="21" t="n"/>
    </row>
    <row r="335">
      <c r="A335" s="19">
        <f>IF($C335="","CHƯA NHẬP",IF($B335="","HỢP LỆ","LỖI"))</f>
        <v/>
      </c>
      <c r="B335" s="19">
        <f>IF($C335="","",TEXTJOIN(" | ",TRUE,IF($C335="","Thiếu mã nhân viên",""),IF(COUNTIF($C$6:$C$505,$C335)&gt;1,"Trùng mã nhân viên",""),IF($D335="","Thiếu họ tên",""),IF(AND($E335&lt;&gt;"",OR(NOT(ISNUMBER($E335)),$E335&lt;DATE(1940,1,1),$E335&gt;TODAY())),"Ngày sinh không hợp lệ",""),IF(AND($G335&lt;&gt;"",OR(ISERROR(SEARCH("@",$G335)),ISERROR(SEARCH(".",$G335)))),"Email cá nhân không hợp lệ",""),IF(AND($H335&lt;&gt;"",OR(ISERROR(SEARCH("@",$H335)),ISERROR(SEARCH(".",$H335)))),"Email công ty không hợp lệ",""),IF(AND($I335&lt;&gt;"",OR(LEN($I335)&lt;9,LEN($I335)&gt;15,NOT(ISNUMBER(--$I335)))),"Số điện thoại không hợp lệ","")))</f>
        <v/>
      </c>
      <c r="C335" s="20" t="n"/>
      <c r="D335" s="21" t="n"/>
      <c r="E335" s="22" t="n"/>
      <c r="F335" s="21" t="n"/>
      <c r="G335" s="21" t="n"/>
      <c r="H335" s="21" t="n"/>
      <c r="I335" s="20" t="n"/>
      <c r="J335" s="21" t="n"/>
      <c r="K335" s="21" t="n"/>
    </row>
    <row r="336">
      <c r="A336" s="19">
        <f>IF($C336="","CHƯA NHẬP",IF($B336="","HỢP LỆ","LỖI"))</f>
        <v/>
      </c>
      <c r="B336" s="19">
        <f>IF($C336="","",TEXTJOIN(" | ",TRUE,IF($C336="","Thiếu mã nhân viên",""),IF(COUNTIF($C$6:$C$505,$C336)&gt;1,"Trùng mã nhân viên",""),IF($D336="","Thiếu họ tên",""),IF(AND($E336&lt;&gt;"",OR(NOT(ISNUMBER($E336)),$E336&lt;DATE(1940,1,1),$E336&gt;TODAY())),"Ngày sinh không hợp lệ",""),IF(AND($G336&lt;&gt;"",OR(ISERROR(SEARCH("@",$G336)),ISERROR(SEARCH(".",$G336)))),"Email cá nhân không hợp lệ",""),IF(AND($H336&lt;&gt;"",OR(ISERROR(SEARCH("@",$H336)),ISERROR(SEARCH(".",$H336)))),"Email công ty không hợp lệ",""),IF(AND($I336&lt;&gt;"",OR(LEN($I336)&lt;9,LEN($I336)&gt;15,NOT(ISNUMBER(--$I336)))),"Số điện thoại không hợp lệ","")))</f>
        <v/>
      </c>
      <c r="C336" s="20" t="n"/>
      <c r="D336" s="21" t="n"/>
      <c r="E336" s="22" t="n"/>
      <c r="F336" s="21" t="n"/>
      <c r="G336" s="21" t="n"/>
      <c r="H336" s="21" t="n"/>
      <c r="I336" s="20" t="n"/>
      <c r="J336" s="21" t="n"/>
      <c r="K336" s="21" t="n"/>
    </row>
    <row r="337">
      <c r="A337" s="19">
        <f>IF($C337="","CHƯA NHẬP",IF($B337="","HỢP LỆ","LỖI"))</f>
        <v/>
      </c>
      <c r="B337" s="19">
        <f>IF($C337="","",TEXTJOIN(" | ",TRUE,IF($C337="","Thiếu mã nhân viên",""),IF(COUNTIF($C$6:$C$505,$C337)&gt;1,"Trùng mã nhân viên",""),IF($D337="","Thiếu họ tên",""),IF(AND($E337&lt;&gt;"",OR(NOT(ISNUMBER($E337)),$E337&lt;DATE(1940,1,1),$E337&gt;TODAY())),"Ngày sinh không hợp lệ",""),IF(AND($G337&lt;&gt;"",OR(ISERROR(SEARCH("@",$G337)),ISERROR(SEARCH(".",$G337)))),"Email cá nhân không hợp lệ",""),IF(AND($H337&lt;&gt;"",OR(ISERROR(SEARCH("@",$H337)),ISERROR(SEARCH(".",$H337)))),"Email công ty không hợp lệ",""),IF(AND($I337&lt;&gt;"",OR(LEN($I337)&lt;9,LEN($I337)&gt;15,NOT(ISNUMBER(--$I337)))),"Số điện thoại không hợp lệ","")))</f>
        <v/>
      </c>
      <c r="C337" s="20" t="n"/>
      <c r="D337" s="21" t="n"/>
      <c r="E337" s="22" t="n"/>
      <c r="F337" s="21" t="n"/>
      <c r="G337" s="21" t="n"/>
      <c r="H337" s="21" t="n"/>
      <c r="I337" s="20" t="n"/>
      <c r="J337" s="21" t="n"/>
      <c r="K337" s="21" t="n"/>
    </row>
    <row r="338">
      <c r="A338" s="19">
        <f>IF($C338="","CHƯA NHẬP",IF($B338="","HỢP LỆ","LỖI"))</f>
        <v/>
      </c>
      <c r="B338" s="19">
        <f>IF($C338="","",TEXTJOIN(" | ",TRUE,IF($C338="","Thiếu mã nhân viên",""),IF(COUNTIF($C$6:$C$505,$C338)&gt;1,"Trùng mã nhân viên",""),IF($D338="","Thiếu họ tên",""),IF(AND($E338&lt;&gt;"",OR(NOT(ISNUMBER($E338)),$E338&lt;DATE(1940,1,1),$E338&gt;TODAY())),"Ngày sinh không hợp lệ",""),IF(AND($G338&lt;&gt;"",OR(ISERROR(SEARCH("@",$G338)),ISERROR(SEARCH(".",$G338)))),"Email cá nhân không hợp lệ",""),IF(AND($H338&lt;&gt;"",OR(ISERROR(SEARCH("@",$H338)),ISERROR(SEARCH(".",$H338)))),"Email công ty không hợp lệ",""),IF(AND($I338&lt;&gt;"",OR(LEN($I338)&lt;9,LEN($I338)&gt;15,NOT(ISNUMBER(--$I338)))),"Số điện thoại không hợp lệ","")))</f>
        <v/>
      </c>
      <c r="C338" s="20" t="n"/>
      <c r="D338" s="21" t="n"/>
      <c r="E338" s="22" t="n"/>
      <c r="F338" s="21" t="n"/>
      <c r="G338" s="21" t="n"/>
      <c r="H338" s="21" t="n"/>
      <c r="I338" s="20" t="n"/>
      <c r="J338" s="21" t="n"/>
      <c r="K338" s="21" t="n"/>
    </row>
    <row r="339">
      <c r="A339" s="19">
        <f>IF($C339="","CHƯA NHẬP",IF($B339="","HỢP LỆ","LỖI"))</f>
        <v/>
      </c>
      <c r="B339" s="19">
        <f>IF($C339="","",TEXTJOIN(" | ",TRUE,IF($C339="","Thiếu mã nhân viên",""),IF(COUNTIF($C$6:$C$505,$C339)&gt;1,"Trùng mã nhân viên",""),IF($D339="","Thiếu họ tên",""),IF(AND($E339&lt;&gt;"",OR(NOT(ISNUMBER($E339)),$E339&lt;DATE(1940,1,1),$E339&gt;TODAY())),"Ngày sinh không hợp lệ",""),IF(AND($G339&lt;&gt;"",OR(ISERROR(SEARCH("@",$G339)),ISERROR(SEARCH(".",$G339)))),"Email cá nhân không hợp lệ",""),IF(AND($H339&lt;&gt;"",OR(ISERROR(SEARCH("@",$H339)),ISERROR(SEARCH(".",$H339)))),"Email công ty không hợp lệ",""),IF(AND($I339&lt;&gt;"",OR(LEN($I339)&lt;9,LEN($I339)&gt;15,NOT(ISNUMBER(--$I339)))),"Số điện thoại không hợp lệ","")))</f>
        <v/>
      </c>
      <c r="C339" s="20" t="n"/>
      <c r="D339" s="21" t="n"/>
      <c r="E339" s="22" t="n"/>
      <c r="F339" s="21" t="n"/>
      <c r="G339" s="21" t="n"/>
      <c r="H339" s="21" t="n"/>
      <c r="I339" s="20" t="n"/>
      <c r="J339" s="21" t="n"/>
      <c r="K339" s="21" t="n"/>
    </row>
    <row r="340">
      <c r="A340" s="19">
        <f>IF($C340="","CHƯA NHẬP",IF($B340="","HỢP LỆ","LỖI"))</f>
        <v/>
      </c>
      <c r="B340" s="19">
        <f>IF($C340="","",TEXTJOIN(" | ",TRUE,IF($C340="","Thiếu mã nhân viên",""),IF(COUNTIF($C$6:$C$505,$C340)&gt;1,"Trùng mã nhân viên",""),IF($D340="","Thiếu họ tên",""),IF(AND($E340&lt;&gt;"",OR(NOT(ISNUMBER($E340)),$E340&lt;DATE(1940,1,1),$E340&gt;TODAY())),"Ngày sinh không hợp lệ",""),IF(AND($G340&lt;&gt;"",OR(ISERROR(SEARCH("@",$G340)),ISERROR(SEARCH(".",$G340)))),"Email cá nhân không hợp lệ",""),IF(AND($H340&lt;&gt;"",OR(ISERROR(SEARCH("@",$H340)),ISERROR(SEARCH(".",$H340)))),"Email công ty không hợp lệ",""),IF(AND($I340&lt;&gt;"",OR(LEN($I340)&lt;9,LEN($I340)&gt;15,NOT(ISNUMBER(--$I340)))),"Số điện thoại không hợp lệ","")))</f>
        <v/>
      </c>
      <c r="C340" s="20" t="n"/>
      <c r="D340" s="21" t="n"/>
      <c r="E340" s="22" t="n"/>
      <c r="F340" s="21" t="n"/>
      <c r="G340" s="21" t="n"/>
      <c r="H340" s="21" t="n"/>
      <c r="I340" s="20" t="n"/>
      <c r="J340" s="21" t="n"/>
      <c r="K340" s="21" t="n"/>
    </row>
    <row r="341">
      <c r="A341" s="19">
        <f>IF($C341="","CHƯA NHẬP",IF($B341="","HỢP LỆ","LỖI"))</f>
        <v/>
      </c>
      <c r="B341" s="19">
        <f>IF($C341="","",TEXTJOIN(" | ",TRUE,IF($C341="","Thiếu mã nhân viên",""),IF(COUNTIF($C$6:$C$505,$C341)&gt;1,"Trùng mã nhân viên",""),IF($D341="","Thiếu họ tên",""),IF(AND($E341&lt;&gt;"",OR(NOT(ISNUMBER($E341)),$E341&lt;DATE(1940,1,1),$E341&gt;TODAY())),"Ngày sinh không hợp lệ",""),IF(AND($G341&lt;&gt;"",OR(ISERROR(SEARCH("@",$G341)),ISERROR(SEARCH(".",$G341)))),"Email cá nhân không hợp lệ",""),IF(AND($H341&lt;&gt;"",OR(ISERROR(SEARCH("@",$H341)),ISERROR(SEARCH(".",$H341)))),"Email công ty không hợp lệ",""),IF(AND($I341&lt;&gt;"",OR(LEN($I341)&lt;9,LEN($I341)&gt;15,NOT(ISNUMBER(--$I341)))),"Số điện thoại không hợp lệ","")))</f>
        <v/>
      </c>
      <c r="C341" s="20" t="n"/>
      <c r="D341" s="21" t="n"/>
      <c r="E341" s="22" t="n"/>
      <c r="F341" s="21" t="n"/>
      <c r="G341" s="21" t="n"/>
      <c r="H341" s="21" t="n"/>
      <c r="I341" s="20" t="n"/>
      <c r="J341" s="21" t="n"/>
      <c r="K341" s="21" t="n"/>
    </row>
    <row r="342">
      <c r="A342" s="19">
        <f>IF($C342="","CHƯA NHẬP",IF($B342="","HỢP LỆ","LỖI"))</f>
        <v/>
      </c>
      <c r="B342" s="19">
        <f>IF($C342="","",TEXTJOIN(" | ",TRUE,IF($C342="","Thiếu mã nhân viên",""),IF(COUNTIF($C$6:$C$505,$C342)&gt;1,"Trùng mã nhân viên",""),IF($D342="","Thiếu họ tên",""),IF(AND($E342&lt;&gt;"",OR(NOT(ISNUMBER($E342)),$E342&lt;DATE(1940,1,1),$E342&gt;TODAY())),"Ngày sinh không hợp lệ",""),IF(AND($G342&lt;&gt;"",OR(ISERROR(SEARCH("@",$G342)),ISERROR(SEARCH(".",$G342)))),"Email cá nhân không hợp lệ",""),IF(AND($H342&lt;&gt;"",OR(ISERROR(SEARCH("@",$H342)),ISERROR(SEARCH(".",$H342)))),"Email công ty không hợp lệ",""),IF(AND($I342&lt;&gt;"",OR(LEN($I342)&lt;9,LEN($I342)&gt;15,NOT(ISNUMBER(--$I342)))),"Số điện thoại không hợp lệ","")))</f>
        <v/>
      </c>
      <c r="C342" s="20" t="n"/>
      <c r="D342" s="21" t="n"/>
      <c r="E342" s="22" t="n"/>
      <c r="F342" s="21" t="n"/>
      <c r="G342" s="21" t="n"/>
      <c r="H342" s="21" t="n"/>
      <c r="I342" s="20" t="n"/>
      <c r="J342" s="21" t="n"/>
      <c r="K342" s="21" t="n"/>
    </row>
    <row r="343">
      <c r="A343" s="19">
        <f>IF($C343="","CHƯA NHẬP",IF($B343="","HỢP LỆ","LỖI"))</f>
        <v/>
      </c>
      <c r="B343" s="19">
        <f>IF($C343="","",TEXTJOIN(" | ",TRUE,IF($C343="","Thiếu mã nhân viên",""),IF(COUNTIF($C$6:$C$505,$C343)&gt;1,"Trùng mã nhân viên",""),IF($D343="","Thiếu họ tên",""),IF(AND($E343&lt;&gt;"",OR(NOT(ISNUMBER($E343)),$E343&lt;DATE(1940,1,1),$E343&gt;TODAY())),"Ngày sinh không hợp lệ",""),IF(AND($G343&lt;&gt;"",OR(ISERROR(SEARCH("@",$G343)),ISERROR(SEARCH(".",$G343)))),"Email cá nhân không hợp lệ",""),IF(AND($H343&lt;&gt;"",OR(ISERROR(SEARCH("@",$H343)),ISERROR(SEARCH(".",$H343)))),"Email công ty không hợp lệ",""),IF(AND($I343&lt;&gt;"",OR(LEN($I343)&lt;9,LEN($I343)&gt;15,NOT(ISNUMBER(--$I343)))),"Số điện thoại không hợp lệ","")))</f>
        <v/>
      </c>
      <c r="C343" s="20" t="n"/>
      <c r="D343" s="21" t="n"/>
      <c r="E343" s="22" t="n"/>
      <c r="F343" s="21" t="n"/>
      <c r="G343" s="21" t="n"/>
      <c r="H343" s="21" t="n"/>
      <c r="I343" s="20" t="n"/>
      <c r="J343" s="21" t="n"/>
      <c r="K343" s="21" t="n"/>
    </row>
    <row r="344">
      <c r="A344" s="19">
        <f>IF($C344="","CHƯA NHẬP",IF($B344="","HỢP LỆ","LỖI"))</f>
        <v/>
      </c>
      <c r="B344" s="19">
        <f>IF($C344="","",TEXTJOIN(" | ",TRUE,IF($C344="","Thiếu mã nhân viên",""),IF(COUNTIF($C$6:$C$505,$C344)&gt;1,"Trùng mã nhân viên",""),IF($D344="","Thiếu họ tên",""),IF(AND($E344&lt;&gt;"",OR(NOT(ISNUMBER($E344)),$E344&lt;DATE(1940,1,1),$E344&gt;TODAY())),"Ngày sinh không hợp lệ",""),IF(AND($G344&lt;&gt;"",OR(ISERROR(SEARCH("@",$G344)),ISERROR(SEARCH(".",$G344)))),"Email cá nhân không hợp lệ",""),IF(AND($H344&lt;&gt;"",OR(ISERROR(SEARCH("@",$H344)),ISERROR(SEARCH(".",$H344)))),"Email công ty không hợp lệ",""),IF(AND($I344&lt;&gt;"",OR(LEN($I344)&lt;9,LEN($I344)&gt;15,NOT(ISNUMBER(--$I344)))),"Số điện thoại không hợp lệ","")))</f>
        <v/>
      </c>
      <c r="C344" s="20" t="n"/>
      <c r="D344" s="21" t="n"/>
      <c r="E344" s="22" t="n"/>
      <c r="F344" s="21" t="n"/>
      <c r="G344" s="21" t="n"/>
      <c r="H344" s="21" t="n"/>
      <c r="I344" s="20" t="n"/>
      <c r="J344" s="21" t="n"/>
      <c r="K344" s="21" t="n"/>
    </row>
    <row r="345">
      <c r="A345" s="19">
        <f>IF($C345="","CHƯA NHẬP",IF($B345="","HỢP LỆ","LỖI"))</f>
        <v/>
      </c>
      <c r="B345" s="19">
        <f>IF($C345="","",TEXTJOIN(" | ",TRUE,IF($C345="","Thiếu mã nhân viên",""),IF(COUNTIF($C$6:$C$505,$C345)&gt;1,"Trùng mã nhân viên",""),IF($D345="","Thiếu họ tên",""),IF(AND($E345&lt;&gt;"",OR(NOT(ISNUMBER($E345)),$E345&lt;DATE(1940,1,1),$E345&gt;TODAY())),"Ngày sinh không hợp lệ",""),IF(AND($G345&lt;&gt;"",OR(ISERROR(SEARCH("@",$G345)),ISERROR(SEARCH(".",$G345)))),"Email cá nhân không hợp lệ",""),IF(AND($H345&lt;&gt;"",OR(ISERROR(SEARCH("@",$H345)),ISERROR(SEARCH(".",$H345)))),"Email công ty không hợp lệ",""),IF(AND($I345&lt;&gt;"",OR(LEN($I345)&lt;9,LEN($I345)&gt;15,NOT(ISNUMBER(--$I345)))),"Số điện thoại không hợp lệ","")))</f>
        <v/>
      </c>
      <c r="C345" s="20" t="n"/>
      <c r="D345" s="21" t="n"/>
      <c r="E345" s="22" t="n"/>
      <c r="F345" s="21" t="n"/>
      <c r="G345" s="21" t="n"/>
      <c r="H345" s="21" t="n"/>
      <c r="I345" s="20" t="n"/>
      <c r="J345" s="21" t="n"/>
      <c r="K345" s="21" t="n"/>
    </row>
    <row r="346">
      <c r="A346" s="19">
        <f>IF($C346="","CHƯA NHẬP",IF($B346="","HỢP LỆ","LỖI"))</f>
        <v/>
      </c>
      <c r="B346" s="19">
        <f>IF($C346="","",TEXTJOIN(" | ",TRUE,IF($C346="","Thiếu mã nhân viên",""),IF(COUNTIF($C$6:$C$505,$C346)&gt;1,"Trùng mã nhân viên",""),IF($D346="","Thiếu họ tên",""),IF(AND($E346&lt;&gt;"",OR(NOT(ISNUMBER($E346)),$E346&lt;DATE(1940,1,1),$E346&gt;TODAY())),"Ngày sinh không hợp lệ",""),IF(AND($G346&lt;&gt;"",OR(ISERROR(SEARCH("@",$G346)),ISERROR(SEARCH(".",$G346)))),"Email cá nhân không hợp lệ",""),IF(AND($H346&lt;&gt;"",OR(ISERROR(SEARCH("@",$H346)),ISERROR(SEARCH(".",$H346)))),"Email công ty không hợp lệ",""),IF(AND($I346&lt;&gt;"",OR(LEN($I346)&lt;9,LEN($I346)&gt;15,NOT(ISNUMBER(--$I346)))),"Số điện thoại không hợp lệ","")))</f>
        <v/>
      </c>
      <c r="C346" s="20" t="n"/>
      <c r="D346" s="21" t="n"/>
      <c r="E346" s="22" t="n"/>
      <c r="F346" s="21" t="n"/>
      <c r="G346" s="21" t="n"/>
      <c r="H346" s="21" t="n"/>
      <c r="I346" s="20" t="n"/>
      <c r="J346" s="21" t="n"/>
      <c r="K346" s="21" t="n"/>
    </row>
    <row r="347">
      <c r="A347" s="19">
        <f>IF($C347="","CHƯA NHẬP",IF($B347="","HỢP LỆ","LỖI"))</f>
        <v/>
      </c>
      <c r="B347" s="19">
        <f>IF($C347="","",TEXTJOIN(" | ",TRUE,IF($C347="","Thiếu mã nhân viên",""),IF(COUNTIF($C$6:$C$505,$C347)&gt;1,"Trùng mã nhân viên",""),IF($D347="","Thiếu họ tên",""),IF(AND($E347&lt;&gt;"",OR(NOT(ISNUMBER($E347)),$E347&lt;DATE(1940,1,1),$E347&gt;TODAY())),"Ngày sinh không hợp lệ",""),IF(AND($G347&lt;&gt;"",OR(ISERROR(SEARCH("@",$G347)),ISERROR(SEARCH(".",$G347)))),"Email cá nhân không hợp lệ",""),IF(AND($H347&lt;&gt;"",OR(ISERROR(SEARCH("@",$H347)),ISERROR(SEARCH(".",$H347)))),"Email công ty không hợp lệ",""),IF(AND($I347&lt;&gt;"",OR(LEN($I347)&lt;9,LEN($I347)&gt;15,NOT(ISNUMBER(--$I347)))),"Số điện thoại không hợp lệ","")))</f>
        <v/>
      </c>
      <c r="C347" s="20" t="n"/>
      <c r="D347" s="21" t="n"/>
      <c r="E347" s="22" t="n"/>
      <c r="F347" s="21" t="n"/>
      <c r="G347" s="21" t="n"/>
      <c r="H347" s="21" t="n"/>
      <c r="I347" s="20" t="n"/>
      <c r="J347" s="21" t="n"/>
      <c r="K347" s="21" t="n"/>
    </row>
    <row r="348">
      <c r="A348" s="19">
        <f>IF($C348="","CHƯA NHẬP",IF($B348="","HỢP LỆ","LỖI"))</f>
        <v/>
      </c>
      <c r="B348" s="19">
        <f>IF($C348="","",TEXTJOIN(" | ",TRUE,IF($C348="","Thiếu mã nhân viên",""),IF(COUNTIF($C$6:$C$505,$C348)&gt;1,"Trùng mã nhân viên",""),IF($D348="","Thiếu họ tên",""),IF(AND($E348&lt;&gt;"",OR(NOT(ISNUMBER($E348)),$E348&lt;DATE(1940,1,1),$E348&gt;TODAY())),"Ngày sinh không hợp lệ",""),IF(AND($G348&lt;&gt;"",OR(ISERROR(SEARCH("@",$G348)),ISERROR(SEARCH(".",$G348)))),"Email cá nhân không hợp lệ",""),IF(AND($H348&lt;&gt;"",OR(ISERROR(SEARCH("@",$H348)),ISERROR(SEARCH(".",$H348)))),"Email công ty không hợp lệ",""),IF(AND($I348&lt;&gt;"",OR(LEN($I348)&lt;9,LEN($I348)&gt;15,NOT(ISNUMBER(--$I348)))),"Số điện thoại không hợp lệ","")))</f>
        <v/>
      </c>
      <c r="C348" s="20" t="n"/>
      <c r="D348" s="21" t="n"/>
      <c r="E348" s="22" t="n"/>
      <c r="F348" s="21" t="n"/>
      <c r="G348" s="21" t="n"/>
      <c r="H348" s="21" t="n"/>
      <c r="I348" s="20" t="n"/>
      <c r="J348" s="21" t="n"/>
      <c r="K348" s="21" t="n"/>
    </row>
    <row r="349">
      <c r="A349" s="19">
        <f>IF($C349="","CHƯA NHẬP",IF($B349="","HỢP LỆ","LỖI"))</f>
        <v/>
      </c>
      <c r="B349" s="19">
        <f>IF($C349="","",TEXTJOIN(" | ",TRUE,IF($C349="","Thiếu mã nhân viên",""),IF(COUNTIF($C$6:$C$505,$C349)&gt;1,"Trùng mã nhân viên",""),IF($D349="","Thiếu họ tên",""),IF(AND($E349&lt;&gt;"",OR(NOT(ISNUMBER($E349)),$E349&lt;DATE(1940,1,1),$E349&gt;TODAY())),"Ngày sinh không hợp lệ",""),IF(AND($G349&lt;&gt;"",OR(ISERROR(SEARCH("@",$G349)),ISERROR(SEARCH(".",$G349)))),"Email cá nhân không hợp lệ",""),IF(AND($H349&lt;&gt;"",OR(ISERROR(SEARCH("@",$H349)),ISERROR(SEARCH(".",$H349)))),"Email công ty không hợp lệ",""),IF(AND($I349&lt;&gt;"",OR(LEN($I349)&lt;9,LEN($I349)&gt;15,NOT(ISNUMBER(--$I349)))),"Số điện thoại không hợp lệ","")))</f>
        <v/>
      </c>
      <c r="C349" s="20" t="n"/>
      <c r="D349" s="21" t="n"/>
      <c r="E349" s="22" t="n"/>
      <c r="F349" s="21" t="n"/>
      <c r="G349" s="21" t="n"/>
      <c r="H349" s="21" t="n"/>
      <c r="I349" s="20" t="n"/>
      <c r="J349" s="21" t="n"/>
      <c r="K349" s="21" t="n"/>
    </row>
    <row r="350">
      <c r="A350" s="19">
        <f>IF($C350="","CHƯA NHẬP",IF($B350="","HỢP LỆ","LỖI"))</f>
        <v/>
      </c>
      <c r="B350" s="19">
        <f>IF($C350="","",TEXTJOIN(" | ",TRUE,IF($C350="","Thiếu mã nhân viên",""),IF(COUNTIF($C$6:$C$505,$C350)&gt;1,"Trùng mã nhân viên",""),IF($D350="","Thiếu họ tên",""),IF(AND($E350&lt;&gt;"",OR(NOT(ISNUMBER($E350)),$E350&lt;DATE(1940,1,1),$E350&gt;TODAY())),"Ngày sinh không hợp lệ",""),IF(AND($G350&lt;&gt;"",OR(ISERROR(SEARCH("@",$G350)),ISERROR(SEARCH(".",$G350)))),"Email cá nhân không hợp lệ",""),IF(AND($H350&lt;&gt;"",OR(ISERROR(SEARCH("@",$H350)),ISERROR(SEARCH(".",$H350)))),"Email công ty không hợp lệ",""),IF(AND($I350&lt;&gt;"",OR(LEN($I350)&lt;9,LEN($I350)&gt;15,NOT(ISNUMBER(--$I350)))),"Số điện thoại không hợp lệ","")))</f>
        <v/>
      </c>
      <c r="C350" s="20" t="n"/>
      <c r="D350" s="21" t="n"/>
      <c r="E350" s="22" t="n"/>
      <c r="F350" s="21" t="n"/>
      <c r="G350" s="21" t="n"/>
      <c r="H350" s="21" t="n"/>
      <c r="I350" s="20" t="n"/>
      <c r="J350" s="21" t="n"/>
      <c r="K350" s="21" t="n"/>
    </row>
    <row r="351">
      <c r="A351" s="19">
        <f>IF($C351="","CHƯA NHẬP",IF($B351="","HỢP LỆ","LỖI"))</f>
        <v/>
      </c>
      <c r="B351" s="19">
        <f>IF($C351="","",TEXTJOIN(" | ",TRUE,IF($C351="","Thiếu mã nhân viên",""),IF(COUNTIF($C$6:$C$505,$C351)&gt;1,"Trùng mã nhân viên",""),IF($D351="","Thiếu họ tên",""),IF(AND($E351&lt;&gt;"",OR(NOT(ISNUMBER($E351)),$E351&lt;DATE(1940,1,1),$E351&gt;TODAY())),"Ngày sinh không hợp lệ",""),IF(AND($G351&lt;&gt;"",OR(ISERROR(SEARCH("@",$G351)),ISERROR(SEARCH(".",$G351)))),"Email cá nhân không hợp lệ",""),IF(AND($H351&lt;&gt;"",OR(ISERROR(SEARCH("@",$H351)),ISERROR(SEARCH(".",$H351)))),"Email công ty không hợp lệ",""),IF(AND($I351&lt;&gt;"",OR(LEN($I351)&lt;9,LEN($I351)&gt;15,NOT(ISNUMBER(--$I351)))),"Số điện thoại không hợp lệ","")))</f>
        <v/>
      </c>
      <c r="C351" s="20" t="n"/>
      <c r="D351" s="21" t="n"/>
      <c r="E351" s="22" t="n"/>
      <c r="F351" s="21" t="n"/>
      <c r="G351" s="21" t="n"/>
      <c r="H351" s="21" t="n"/>
      <c r="I351" s="20" t="n"/>
      <c r="J351" s="21" t="n"/>
      <c r="K351" s="21" t="n"/>
    </row>
    <row r="352">
      <c r="A352" s="19">
        <f>IF($C352="","CHƯA NHẬP",IF($B352="","HỢP LỆ","LỖI"))</f>
        <v/>
      </c>
      <c r="B352" s="19">
        <f>IF($C352="","",TEXTJOIN(" | ",TRUE,IF($C352="","Thiếu mã nhân viên",""),IF(COUNTIF($C$6:$C$505,$C352)&gt;1,"Trùng mã nhân viên",""),IF($D352="","Thiếu họ tên",""),IF(AND($E352&lt;&gt;"",OR(NOT(ISNUMBER($E352)),$E352&lt;DATE(1940,1,1),$E352&gt;TODAY())),"Ngày sinh không hợp lệ",""),IF(AND($G352&lt;&gt;"",OR(ISERROR(SEARCH("@",$G352)),ISERROR(SEARCH(".",$G352)))),"Email cá nhân không hợp lệ",""),IF(AND($H352&lt;&gt;"",OR(ISERROR(SEARCH("@",$H352)),ISERROR(SEARCH(".",$H352)))),"Email công ty không hợp lệ",""),IF(AND($I352&lt;&gt;"",OR(LEN($I352)&lt;9,LEN($I352)&gt;15,NOT(ISNUMBER(--$I352)))),"Số điện thoại không hợp lệ","")))</f>
        <v/>
      </c>
      <c r="C352" s="20" t="n"/>
      <c r="D352" s="21" t="n"/>
      <c r="E352" s="22" t="n"/>
      <c r="F352" s="21" t="n"/>
      <c r="G352" s="21" t="n"/>
      <c r="H352" s="21" t="n"/>
      <c r="I352" s="20" t="n"/>
      <c r="J352" s="21" t="n"/>
      <c r="K352" s="21" t="n"/>
    </row>
    <row r="353">
      <c r="A353" s="19">
        <f>IF($C353="","CHƯA NHẬP",IF($B353="","HỢP LỆ","LỖI"))</f>
        <v/>
      </c>
      <c r="B353" s="19">
        <f>IF($C353="","",TEXTJOIN(" | ",TRUE,IF($C353="","Thiếu mã nhân viên",""),IF(COUNTIF($C$6:$C$505,$C353)&gt;1,"Trùng mã nhân viên",""),IF($D353="","Thiếu họ tên",""),IF(AND($E353&lt;&gt;"",OR(NOT(ISNUMBER($E353)),$E353&lt;DATE(1940,1,1),$E353&gt;TODAY())),"Ngày sinh không hợp lệ",""),IF(AND($G353&lt;&gt;"",OR(ISERROR(SEARCH("@",$G353)),ISERROR(SEARCH(".",$G353)))),"Email cá nhân không hợp lệ",""),IF(AND($H353&lt;&gt;"",OR(ISERROR(SEARCH("@",$H353)),ISERROR(SEARCH(".",$H353)))),"Email công ty không hợp lệ",""),IF(AND($I353&lt;&gt;"",OR(LEN($I353)&lt;9,LEN($I353)&gt;15,NOT(ISNUMBER(--$I353)))),"Số điện thoại không hợp lệ","")))</f>
        <v/>
      </c>
      <c r="C353" s="20" t="n"/>
      <c r="D353" s="21" t="n"/>
      <c r="E353" s="22" t="n"/>
      <c r="F353" s="21" t="n"/>
      <c r="G353" s="21" t="n"/>
      <c r="H353" s="21" t="n"/>
      <c r="I353" s="20" t="n"/>
      <c r="J353" s="21" t="n"/>
      <c r="K353" s="21" t="n"/>
    </row>
    <row r="354">
      <c r="A354" s="19">
        <f>IF($C354="","CHƯA NHẬP",IF($B354="","HỢP LỆ","LỖI"))</f>
        <v/>
      </c>
      <c r="B354" s="19">
        <f>IF($C354="","",TEXTJOIN(" | ",TRUE,IF($C354="","Thiếu mã nhân viên",""),IF(COUNTIF($C$6:$C$505,$C354)&gt;1,"Trùng mã nhân viên",""),IF($D354="","Thiếu họ tên",""),IF(AND($E354&lt;&gt;"",OR(NOT(ISNUMBER($E354)),$E354&lt;DATE(1940,1,1),$E354&gt;TODAY())),"Ngày sinh không hợp lệ",""),IF(AND($G354&lt;&gt;"",OR(ISERROR(SEARCH("@",$G354)),ISERROR(SEARCH(".",$G354)))),"Email cá nhân không hợp lệ",""),IF(AND($H354&lt;&gt;"",OR(ISERROR(SEARCH("@",$H354)),ISERROR(SEARCH(".",$H354)))),"Email công ty không hợp lệ",""),IF(AND($I354&lt;&gt;"",OR(LEN($I354)&lt;9,LEN($I354)&gt;15,NOT(ISNUMBER(--$I354)))),"Số điện thoại không hợp lệ","")))</f>
        <v/>
      </c>
      <c r="C354" s="20" t="n"/>
      <c r="D354" s="21" t="n"/>
      <c r="E354" s="22" t="n"/>
      <c r="F354" s="21" t="n"/>
      <c r="G354" s="21" t="n"/>
      <c r="H354" s="21" t="n"/>
      <c r="I354" s="20" t="n"/>
      <c r="J354" s="21" t="n"/>
      <c r="K354" s="21" t="n"/>
    </row>
    <row r="355">
      <c r="A355" s="19">
        <f>IF($C355="","CHƯA NHẬP",IF($B355="","HỢP LỆ","LỖI"))</f>
        <v/>
      </c>
      <c r="B355" s="19">
        <f>IF($C355="","",TEXTJOIN(" | ",TRUE,IF($C355="","Thiếu mã nhân viên",""),IF(COUNTIF($C$6:$C$505,$C355)&gt;1,"Trùng mã nhân viên",""),IF($D355="","Thiếu họ tên",""),IF(AND($E355&lt;&gt;"",OR(NOT(ISNUMBER($E355)),$E355&lt;DATE(1940,1,1),$E355&gt;TODAY())),"Ngày sinh không hợp lệ",""),IF(AND($G355&lt;&gt;"",OR(ISERROR(SEARCH("@",$G355)),ISERROR(SEARCH(".",$G355)))),"Email cá nhân không hợp lệ",""),IF(AND($H355&lt;&gt;"",OR(ISERROR(SEARCH("@",$H355)),ISERROR(SEARCH(".",$H355)))),"Email công ty không hợp lệ",""),IF(AND($I355&lt;&gt;"",OR(LEN($I355)&lt;9,LEN($I355)&gt;15,NOT(ISNUMBER(--$I355)))),"Số điện thoại không hợp lệ","")))</f>
        <v/>
      </c>
      <c r="C355" s="20" t="n"/>
      <c r="D355" s="21" t="n"/>
      <c r="E355" s="22" t="n"/>
      <c r="F355" s="21" t="n"/>
      <c r="G355" s="21" t="n"/>
      <c r="H355" s="21" t="n"/>
      <c r="I355" s="20" t="n"/>
      <c r="J355" s="21" t="n"/>
      <c r="K355" s="21" t="n"/>
    </row>
    <row r="356">
      <c r="A356" s="19">
        <f>IF($C356="","CHƯA NHẬP",IF($B356="","HỢP LỆ","LỖI"))</f>
        <v/>
      </c>
      <c r="B356" s="19">
        <f>IF($C356="","",TEXTJOIN(" | ",TRUE,IF($C356="","Thiếu mã nhân viên",""),IF(COUNTIF($C$6:$C$505,$C356)&gt;1,"Trùng mã nhân viên",""),IF($D356="","Thiếu họ tên",""),IF(AND($E356&lt;&gt;"",OR(NOT(ISNUMBER($E356)),$E356&lt;DATE(1940,1,1),$E356&gt;TODAY())),"Ngày sinh không hợp lệ",""),IF(AND($G356&lt;&gt;"",OR(ISERROR(SEARCH("@",$G356)),ISERROR(SEARCH(".",$G356)))),"Email cá nhân không hợp lệ",""),IF(AND($H356&lt;&gt;"",OR(ISERROR(SEARCH("@",$H356)),ISERROR(SEARCH(".",$H356)))),"Email công ty không hợp lệ",""),IF(AND($I356&lt;&gt;"",OR(LEN($I356)&lt;9,LEN($I356)&gt;15,NOT(ISNUMBER(--$I356)))),"Số điện thoại không hợp lệ","")))</f>
        <v/>
      </c>
      <c r="C356" s="20" t="n"/>
      <c r="D356" s="21" t="n"/>
      <c r="E356" s="22" t="n"/>
      <c r="F356" s="21" t="n"/>
      <c r="G356" s="21" t="n"/>
      <c r="H356" s="21" t="n"/>
      <c r="I356" s="20" t="n"/>
      <c r="J356" s="21" t="n"/>
      <c r="K356" s="21" t="n"/>
    </row>
    <row r="357">
      <c r="A357" s="19">
        <f>IF($C357="","CHƯA NHẬP",IF($B357="","HỢP LỆ","LỖI"))</f>
        <v/>
      </c>
      <c r="B357" s="19">
        <f>IF($C357="","",TEXTJOIN(" | ",TRUE,IF($C357="","Thiếu mã nhân viên",""),IF(COUNTIF($C$6:$C$505,$C357)&gt;1,"Trùng mã nhân viên",""),IF($D357="","Thiếu họ tên",""),IF(AND($E357&lt;&gt;"",OR(NOT(ISNUMBER($E357)),$E357&lt;DATE(1940,1,1),$E357&gt;TODAY())),"Ngày sinh không hợp lệ",""),IF(AND($G357&lt;&gt;"",OR(ISERROR(SEARCH("@",$G357)),ISERROR(SEARCH(".",$G357)))),"Email cá nhân không hợp lệ",""),IF(AND($H357&lt;&gt;"",OR(ISERROR(SEARCH("@",$H357)),ISERROR(SEARCH(".",$H357)))),"Email công ty không hợp lệ",""),IF(AND($I357&lt;&gt;"",OR(LEN($I357)&lt;9,LEN($I357)&gt;15,NOT(ISNUMBER(--$I357)))),"Số điện thoại không hợp lệ","")))</f>
        <v/>
      </c>
      <c r="C357" s="20" t="n"/>
      <c r="D357" s="21" t="n"/>
      <c r="E357" s="22" t="n"/>
      <c r="F357" s="21" t="n"/>
      <c r="G357" s="21" t="n"/>
      <c r="H357" s="21" t="n"/>
      <c r="I357" s="20" t="n"/>
      <c r="J357" s="21" t="n"/>
      <c r="K357" s="21" t="n"/>
    </row>
    <row r="358">
      <c r="A358" s="19">
        <f>IF($C358="","CHƯA NHẬP",IF($B358="","HỢP LỆ","LỖI"))</f>
        <v/>
      </c>
      <c r="B358" s="19">
        <f>IF($C358="","",TEXTJOIN(" | ",TRUE,IF($C358="","Thiếu mã nhân viên",""),IF(COUNTIF($C$6:$C$505,$C358)&gt;1,"Trùng mã nhân viên",""),IF($D358="","Thiếu họ tên",""),IF(AND($E358&lt;&gt;"",OR(NOT(ISNUMBER($E358)),$E358&lt;DATE(1940,1,1),$E358&gt;TODAY())),"Ngày sinh không hợp lệ",""),IF(AND($G358&lt;&gt;"",OR(ISERROR(SEARCH("@",$G358)),ISERROR(SEARCH(".",$G358)))),"Email cá nhân không hợp lệ",""),IF(AND($H358&lt;&gt;"",OR(ISERROR(SEARCH("@",$H358)),ISERROR(SEARCH(".",$H358)))),"Email công ty không hợp lệ",""),IF(AND($I358&lt;&gt;"",OR(LEN($I358)&lt;9,LEN($I358)&gt;15,NOT(ISNUMBER(--$I358)))),"Số điện thoại không hợp lệ","")))</f>
        <v/>
      </c>
      <c r="C358" s="20" t="n"/>
      <c r="D358" s="21" t="n"/>
      <c r="E358" s="22" t="n"/>
      <c r="F358" s="21" t="n"/>
      <c r="G358" s="21" t="n"/>
      <c r="H358" s="21" t="n"/>
      <c r="I358" s="20" t="n"/>
      <c r="J358" s="21" t="n"/>
      <c r="K358" s="21" t="n"/>
    </row>
    <row r="359">
      <c r="A359" s="19">
        <f>IF($C359="","CHƯA NHẬP",IF($B359="","HỢP LỆ","LỖI"))</f>
        <v/>
      </c>
      <c r="B359" s="19">
        <f>IF($C359="","",TEXTJOIN(" | ",TRUE,IF($C359="","Thiếu mã nhân viên",""),IF(COUNTIF($C$6:$C$505,$C359)&gt;1,"Trùng mã nhân viên",""),IF($D359="","Thiếu họ tên",""),IF(AND($E359&lt;&gt;"",OR(NOT(ISNUMBER($E359)),$E359&lt;DATE(1940,1,1),$E359&gt;TODAY())),"Ngày sinh không hợp lệ",""),IF(AND($G359&lt;&gt;"",OR(ISERROR(SEARCH("@",$G359)),ISERROR(SEARCH(".",$G359)))),"Email cá nhân không hợp lệ",""),IF(AND($H359&lt;&gt;"",OR(ISERROR(SEARCH("@",$H359)),ISERROR(SEARCH(".",$H359)))),"Email công ty không hợp lệ",""),IF(AND($I359&lt;&gt;"",OR(LEN($I359)&lt;9,LEN($I359)&gt;15,NOT(ISNUMBER(--$I359)))),"Số điện thoại không hợp lệ","")))</f>
        <v/>
      </c>
      <c r="C359" s="20" t="n"/>
      <c r="D359" s="21" t="n"/>
      <c r="E359" s="22" t="n"/>
      <c r="F359" s="21" t="n"/>
      <c r="G359" s="21" t="n"/>
      <c r="H359" s="21" t="n"/>
      <c r="I359" s="20" t="n"/>
      <c r="J359" s="21" t="n"/>
      <c r="K359" s="21" t="n"/>
    </row>
    <row r="360">
      <c r="A360" s="19">
        <f>IF($C360="","CHƯA NHẬP",IF($B360="","HỢP LỆ","LỖI"))</f>
        <v/>
      </c>
      <c r="B360" s="19">
        <f>IF($C360="","",TEXTJOIN(" | ",TRUE,IF($C360="","Thiếu mã nhân viên",""),IF(COUNTIF($C$6:$C$505,$C360)&gt;1,"Trùng mã nhân viên",""),IF($D360="","Thiếu họ tên",""),IF(AND($E360&lt;&gt;"",OR(NOT(ISNUMBER($E360)),$E360&lt;DATE(1940,1,1),$E360&gt;TODAY())),"Ngày sinh không hợp lệ",""),IF(AND($G360&lt;&gt;"",OR(ISERROR(SEARCH("@",$G360)),ISERROR(SEARCH(".",$G360)))),"Email cá nhân không hợp lệ",""),IF(AND($H360&lt;&gt;"",OR(ISERROR(SEARCH("@",$H360)),ISERROR(SEARCH(".",$H360)))),"Email công ty không hợp lệ",""),IF(AND($I360&lt;&gt;"",OR(LEN($I360)&lt;9,LEN($I360)&gt;15,NOT(ISNUMBER(--$I360)))),"Số điện thoại không hợp lệ","")))</f>
        <v/>
      </c>
      <c r="C360" s="20" t="n"/>
      <c r="D360" s="21" t="n"/>
      <c r="E360" s="22" t="n"/>
      <c r="F360" s="21" t="n"/>
      <c r="G360" s="21" t="n"/>
      <c r="H360" s="21" t="n"/>
      <c r="I360" s="20" t="n"/>
      <c r="J360" s="21" t="n"/>
      <c r="K360" s="21" t="n"/>
    </row>
    <row r="361">
      <c r="A361" s="19">
        <f>IF($C361="","CHƯA NHẬP",IF($B361="","HỢP LỆ","LỖI"))</f>
        <v/>
      </c>
      <c r="B361" s="19">
        <f>IF($C361="","",TEXTJOIN(" | ",TRUE,IF($C361="","Thiếu mã nhân viên",""),IF(COUNTIF($C$6:$C$505,$C361)&gt;1,"Trùng mã nhân viên",""),IF($D361="","Thiếu họ tên",""),IF(AND($E361&lt;&gt;"",OR(NOT(ISNUMBER($E361)),$E361&lt;DATE(1940,1,1),$E361&gt;TODAY())),"Ngày sinh không hợp lệ",""),IF(AND($G361&lt;&gt;"",OR(ISERROR(SEARCH("@",$G361)),ISERROR(SEARCH(".",$G361)))),"Email cá nhân không hợp lệ",""),IF(AND($H361&lt;&gt;"",OR(ISERROR(SEARCH("@",$H361)),ISERROR(SEARCH(".",$H361)))),"Email công ty không hợp lệ",""),IF(AND($I361&lt;&gt;"",OR(LEN($I361)&lt;9,LEN($I361)&gt;15,NOT(ISNUMBER(--$I361)))),"Số điện thoại không hợp lệ","")))</f>
        <v/>
      </c>
      <c r="C361" s="20" t="n"/>
      <c r="D361" s="21" t="n"/>
      <c r="E361" s="22" t="n"/>
      <c r="F361" s="21" t="n"/>
      <c r="G361" s="21" t="n"/>
      <c r="H361" s="21" t="n"/>
      <c r="I361" s="20" t="n"/>
      <c r="J361" s="21" t="n"/>
      <c r="K361" s="21" t="n"/>
    </row>
    <row r="362">
      <c r="A362" s="19">
        <f>IF($C362="","CHƯA NHẬP",IF($B362="","HỢP LỆ","LỖI"))</f>
        <v/>
      </c>
      <c r="B362" s="19">
        <f>IF($C362="","",TEXTJOIN(" | ",TRUE,IF($C362="","Thiếu mã nhân viên",""),IF(COUNTIF($C$6:$C$505,$C362)&gt;1,"Trùng mã nhân viên",""),IF($D362="","Thiếu họ tên",""),IF(AND($E362&lt;&gt;"",OR(NOT(ISNUMBER($E362)),$E362&lt;DATE(1940,1,1),$E362&gt;TODAY())),"Ngày sinh không hợp lệ",""),IF(AND($G362&lt;&gt;"",OR(ISERROR(SEARCH("@",$G362)),ISERROR(SEARCH(".",$G362)))),"Email cá nhân không hợp lệ",""),IF(AND($H362&lt;&gt;"",OR(ISERROR(SEARCH("@",$H362)),ISERROR(SEARCH(".",$H362)))),"Email công ty không hợp lệ",""),IF(AND($I362&lt;&gt;"",OR(LEN($I362)&lt;9,LEN($I362)&gt;15,NOT(ISNUMBER(--$I362)))),"Số điện thoại không hợp lệ","")))</f>
        <v/>
      </c>
      <c r="C362" s="20" t="n"/>
      <c r="D362" s="21" t="n"/>
      <c r="E362" s="22" t="n"/>
      <c r="F362" s="21" t="n"/>
      <c r="G362" s="21" t="n"/>
      <c r="H362" s="21" t="n"/>
      <c r="I362" s="20" t="n"/>
      <c r="J362" s="21" t="n"/>
      <c r="K362" s="21" t="n"/>
    </row>
    <row r="363">
      <c r="A363" s="19">
        <f>IF($C363="","CHƯA NHẬP",IF($B363="","HỢP LỆ","LỖI"))</f>
        <v/>
      </c>
      <c r="B363" s="19">
        <f>IF($C363="","",TEXTJOIN(" | ",TRUE,IF($C363="","Thiếu mã nhân viên",""),IF(COUNTIF($C$6:$C$505,$C363)&gt;1,"Trùng mã nhân viên",""),IF($D363="","Thiếu họ tên",""),IF(AND($E363&lt;&gt;"",OR(NOT(ISNUMBER($E363)),$E363&lt;DATE(1940,1,1),$E363&gt;TODAY())),"Ngày sinh không hợp lệ",""),IF(AND($G363&lt;&gt;"",OR(ISERROR(SEARCH("@",$G363)),ISERROR(SEARCH(".",$G363)))),"Email cá nhân không hợp lệ",""),IF(AND($H363&lt;&gt;"",OR(ISERROR(SEARCH("@",$H363)),ISERROR(SEARCH(".",$H363)))),"Email công ty không hợp lệ",""),IF(AND($I363&lt;&gt;"",OR(LEN($I363)&lt;9,LEN($I363)&gt;15,NOT(ISNUMBER(--$I363)))),"Số điện thoại không hợp lệ","")))</f>
        <v/>
      </c>
      <c r="C363" s="20" t="n"/>
      <c r="D363" s="21" t="n"/>
      <c r="E363" s="22" t="n"/>
      <c r="F363" s="21" t="n"/>
      <c r="G363" s="21" t="n"/>
      <c r="H363" s="21" t="n"/>
      <c r="I363" s="20" t="n"/>
      <c r="J363" s="21" t="n"/>
      <c r="K363" s="21" t="n"/>
    </row>
    <row r="364">
      <c r="A364" s="19">
        <f>IF($C364="","CHƯA NHẬP",IF($B364="","HỢP LỆ","LỖI"))</f>
        <v/>
      </c>
      <c r="B364" s="19">
        <f>IF($C364="","",TEXTJOIN(" | ",TRUE,IF($C364="","Thiếu mã nhân viên",""),IF(COUNTIF($C$6:$C$505,$C364)&gt;1,"Trùng mã nhân viên",""),IF($D364="","Thiếu họ tên",""),IF(AND($E364&lt;&gt;"",OR(NOT(ISNUMBER($E364)),$E364&lt;DATE(1940,1,1),$E364&gt;TODAY())),"Ngày sinh không hợp lệ",""),IF(AND($G364&lt;&gt;"",OR(ISERROR(SEARCH("@",$G364)),ISERROR(SEARCH(".",$G364)))),"Email cá nhân không hợp lệ",""),IF(AND($H364&lt;&gt;"",OR(ISERROR(SEARCH("@",$H364)),ISERROR(SEARCH(".",$H364)))),"Email công ty không hợp lệ",""),IF(AND($I364&lt;&gt;"",OR(LEN($I364)&lt;9,LEN($I364)&gt;15,NOT(ISNUMBER(--$I364)))),"Số điện thoại không hợp lệ","")))</f>
        <v/>
      </c>
      <c r="C364" s="20" t="n"/>
      <c r="D364" s="21" t="n"/>
      <c r="E364" s="22" t="n"/>
      <c r="F364" s="21" t="n"/>
      <c r="G364" s="21" t="n"/>
      <c r="H364" s="21" t="n"/>
      <c r="I364" s="20" t="n"/>
      <c r="J364" s="21" t="n"/>
      <c r="K364" s="21" t="n"/>
    </row>
    <row r="365">
      <c r="A365" s="19">
        <f>IF($C365="","CHƯA NHẬP",IF($B365="","HỢP LỆ","LỖI"))</f>
        <v/>
      </c>
      <c r="B365" s="19">
        <f>IF($C365="","",TEXTJOIN(" | ",TRUE,IF($C365="","Thiếu mã nhân viên",""),IF(COUNTIF($C$6:$C$505,$C365)&gt;1,"Trùng mã nhân viên",""),IF($D365="","Thiếu họ tên",""),IF(AND($E365&lt;&gt;"",OR(NOT(ISNUMBER($E365)),$E365&lt;DATE(1940,1,1),$E365&gt;TODAY())),"Ngày sinh không hợp lệ",""),IF(AND($G365&lt;&gt;"",OR(ISERROR(SEARCH("@",$G365)),ISERROR(SEARCH(".",$G365)))),"Email cá nhân không hợp lệ",""),IF(AND($H365&lt;&gt;"",OR(ISERROR(SEARCH("@",$H365)),ISERROR(SEARCH(".",$H365)))),"Email công ty không hợp lệ",""),IF(AND($I365&lt;&gt;"",OR(LEN($I365)&lt;9,LEN($I365)&gt;15,NOT(ISNUMBER(--$I365)))),"Số điện thoại không hợp lệ","")))</f>
        <v/>
      </c>
      <c r="C365" s="20" t="n"/>
      <c r="D365" s="21" t="n"/>
      <c r="E365" s="22" t="n"/>
      <c r="F365" s="21" t="n"/>
      <c r="G365" s="21" t="n"/>
      <c r="H365" s="21" t="n"/>
      <c r="I365" s="20" t="n"/>
      <c r="J365" s="21" t="n"/>
      <c r="K365" s="21" t="n"/>
    </row>
    <row r="366">
      <c r="A366" s="19">
        <f>IF($C366="","CHƯA NHẬP",IF($B366="","HỢP LỆ","LỖI"))</f>
        <v/>
      </c>
      <c r="B366" s="19">
        <f>IF($C366="","",TEXTJOIN(" | ",TRUE,IF($C366="","Thiếu mã nhân viên",""),IF(COUNTIF($C$6:$C$505,$C366)&gt;1,"Trùng mã nhân viên",""),IF($D366="","Thiếu họ tên",""),IF(AND($E366&lt;&gt;"",OR(NOT(ISNUMBER($E366)),$E366&lt;DATE(1940,1,1),$E366&gt;TODAY())),"Ngày sinh không hợp lệ",""),IF(AND($G366&lt;&gt;"",OR(ISERROR(SEARCH("@",$G366)),ISERROR(SEARCH(".",$G366)))),"Email cá nhân không hợp lệ",""),IF(AND($H366&lt;&gt;"",OR(ISERROR(SEARCH("@",$H366)),ISERROR(SEARCH(".",$H366)))),"Email công ty không hợp lệ",""),IF(AND($I366&lt;&gt;"",OR(LEN($I366)&lt;9,LEN($I366)&gt;15,NOT(ISNUMBER(--$I366)))),"Số điện thoại không hợp lệ","")))</f>
        <v/>
      </c>
      <c r="C366" s="20" t="n"/>
      <c r="D366" s="21" t="n"/>
      <c r="E366" s="22" t="n"/>
      <c r="F366" s="21" t="n"/>
      <c r="G366" s="21" t="n"/>
      <c r="H366" s="21" t="n"/>
      <c r="I366" s="20" t="n"/>
      <c r="J366" s="21" t="n"/>
      <c r="K366" s="21" t="n"/>
    </row>
    <row r="367">
      <c r="A367" s="19">
        <f>IF($C367="","CHƯA NHẬP",IF($B367="","HỢP LỆ","LỖI"))</f>
        <v/>
      </c>
      <c r="B367" s="19">
        <f>IF($C367="","",TEXTJOIN(" | ",TRUE,IF($C367="","Thiếu mã nhân viên",""),IF(COUNTIF($C$6:$C$505,$C367)&gt;1,"Trùng mã nhân viên",""),IF($D367="","Thiếu họ tên",""),IF(AND($E367&lt;&gt;"",OR(NOT(ISNUMBER($E367)),$E367&lt;DATE(1940,1,1),$E367&gt;TODAY())),"Ngày sinh không hợp lệ",""),IF(AND($G367&lt;&gt;"",OR(ISERROR(SEARCH("@",$G367)),ISERROR(SEARCH(".",$G367)))),"Email cá nhân không hợp lệ",""),IF(AND($H367&lt;&gt;"",OR(ISERROR(SEARCH("@",$H367)),ISERROR(SEARCH(".",$H367)))),"Email công ty không hợp lệ",""),IF(AND($I367&lt;&gt;"",OR(LEN($I367)&lt;9,LEN($I367)&gt;15,NOT(ISNUMBER(--$I367)))),"Số điện thoại không hợp lệ","")))</f>
        <v/>
      </c>
      <c r="C367" s="20" t="n"/>
      <c r="D367" s="21" t="n"/>
      <c r="E367" s="22" t="n"/>
      <c r="F367" s="21" t="n"/>
      <c r="G367" s="21" t="n"/>
      <c r="H367" s="21" t="n"/>
      <c r="I367" s="20" t="n"/>
      <c r="J367" s="21" t="n"/>
      <c r="K367" s="21" t="n"/>
    </row>
    <row r="368">
      <c r="A368" s="19">
        <f>IF($C368="","CHƯA NHẬP",IF($B368="","HỢP LỆ","LỖI"))</f>
        <v/>
      </c>
      <c r="B368" s="19">
        <f>IF($C368="","",TEXTJOIN(" | ",TRUE,IF($C368="","Thiếu mã nhân viên",""),IF(COUNTIF($C$6:$C$505,$C368)&gt;1,"Trùng mã nhân viên",""),IF($D368="","Thiếu họ tên",""),IF(AND($E368&lt;&gt;"",OR(NOT(ISNUMBER($E368)),$E368&lt;DATE(1940,1,1),$E368&gt;TODAY())),"Ngày sinh không hợp lệ",""),IF(AND($G368&lt;&gt;"",OR(ISERROR(SEARCH("@",$G368)),ISERROR(SEARCH(".",$G368)))),"Email cá nhân không hợp lệ",""),IF(AND($H368&lt;&gt;"",OR(ISERROR(SEARCH("@",$H368)),ISERROR(SEARCH(".",$H368)))),"Email công ty không hợp lệ",""),IF(AND($I368&lt;&gt;"",OR(LEN($I368)&lt;9,LEN($I368)&gt;15,NOT(ISNUMBER(--$I368)))),"Số điện thoại không hợp lệ","")))</f>
        <v/>
      </c>
      <c r="C368" s="20" t="n"/>
      <c r="D368" s="21" t="n"/>
      <c r="E368" s="22" t="n"/>
      <c r="F368" s="21" t="n"/>
      <c r="G368" s="21" t="n"/>
      <c r="H368" s="21" t="n"/>
      <c r="I368" s="20" t="n"/>
      <c r="J368" s="21" t="n"/>
      <c r="K368" s="21" t="n"/>
    </row>
    <row r="369">
      <c r="A369" s="19">
        <f>IF($C369="","CHƯA NHẬP",IF($B369="","HỢP LỆ","LỖI"))</f>
        <v/>
      </c>
      <c r="B369" s="19">
        <f>IF($C369="","",TEXTJOIN(" | ",TRUE,IF($C369="","Thiếu mã nhân viên",""),IF(COUNTIF($C$6:$C$505,$C369)&gt;1,"Trùng mã nhân viên",""),IF($D369="","Thiếu họ tên",""),IF(AND($E369&lt;&gt;"",OR(NOT(ISNUMBER($E369)),$E369&lt;DATE(1940,1,1),$E369&gt;TODAY())),"Ngày sinh không hợp lệ",""),IF(AND($G369&lt;&gt;"",OR(ISERROR(SEARCH("@",$G369)),ISERROR(SEARCH(".",$G369)))),"Email cá nhân không hợp lệ",""),IF(AND($H369&lt;&gt;"",OR(ISERROR(SEARCH("@",$H369)),ISERROR(SEARCH(".",$H369)))),"Email công ty không hợp lệ",""),IF(AND($I369&lt;&gt;"",OR(LEN($I369)&lt;9,LEN($I369)&gt;15,NOT(ISNUMBER(--$I369)))),"Số điện thoại không hợp lệ","")))</f>
        <v/>
      </c>
      <c r="C369" s="20" t="n"/>
      <c r="D369" s="21" t="n"/>
      <c r="E369" s="22" t="n"/>
      <c r="F369" s="21" t="n"/>
      <c r="G369" s="21" t="n"/>
      <c r="H369" s="21" t="n"/>
      <c r="I369" s="20" t="n"/>
      <c r="J369" s="21" t="n"/>
      <c r="K369" s="21" t="n"/>
    </row>
    <row r="370">
      <c r="A370" s="19">
        <f>IF($C370="","CHƯA NHẬP",IF($B370="","HỢP LỆ","LỖI"))</f>
        <v/>
      </c>
      <c r="B370" s="19">
        <f>IF($C370="","",TEXTJOIN(" | ",TRUE,IF($C370="","Thiếu mã nhân viên",""),IF(COUNTIF($C$6:$C$505,$C370)&gt;1,"Trùng mã nhân viên",""),IF($D370="","Thiếu họ tên",""),IF(AND($E370&lt;&gt;"",OR(NOT(ISNUMBER($E370)),$E370&lt;DATE(1940,1,1),$E370&gt;TODAY())),"Ngày sinh không hợp lệ",""),IF(AND($G370&lt;&gt;"",OR(ISERROR(SEARCH("@",$G370)),ISERROR(SEARCH(".",$G370)))),"Email cá nhân không hợp lệ",""),IF(AND($H370&lt;&gt;"",OR(ISERROR(SEARCH("@",$H370)),ISERROR(SEARCH(".",$H370)))),"Email công ty không hợp lệ",""),IF(AND($I370&lt;&gt;"",OR(LEN($I370)&lt;9,LEN($I370)&gt;15,NOT(ISNUMBER(--$I370)))),"Số điện thoại không hợp lệ","")))</f>
        <v/>
      </c>
      <c r="C370" s="20" t="n"/>
      <c r="D370" s="21" t="n"/>
      <c r="E370" s="22" t="n"/>
      <c r="F370" s="21" t="n"/>
      <c r="G370" s="21" t="n"/>
      <c r="H370" s="21" t="n"/>
      <c r="I370" s="20" t="n"/>
      <c r="J370" s="21" t="n"/>
      <c r="K370" s="21" t="n"/>
    </row>
    <row r="371">
      <c r="A371" s="19">
        <f>IF($C371="","CHƯA NHẬP",IF($B371="","HỢP LỆ","LỖI"))</f>
        <v/>
      </c>
      <c r="B371" s="19">
        <f>IF($C371="","",TEXTJOIN(" | ",TRUE,IF($C371="","Thiếu mã nhân viên",""),IF(COUNTIF($C$6:$C$505,$C371)&gt;1,"Trùng mã nhân viên",""),IF($D371="","Thiếu họ tên",""),IF(AND($E371&lt;&gt;"",OR(NOT(ISNUMBER($E371)),$E371&lt;DATE(1940,1,1),$E371&gt;TODAY())),"Ngày sinh không hợp lệ",""),IF(AND($G371&lt;&gt;"",OR(ISERROR(SEARCH("@",$G371)),ISERROR(SEARCH(".",$G371)))),"Email cá nhân không hợp lệ",""),IF(AND($H371&lt;&gt;"",OR(ISERROR(SEARCH("@",$H371)),ISERROR(SEARCH(".",$H371)))),"Email công ty không hợp lệ",""),IF(AND($I371&lt;&gt;"",OR(LEN($I371)&lt;9,LEN($I371)&gt;15,NOT(ISNUMBER(--$I371)))),"Số điện thoại không hợp lệ","")))</f>
        <v/>
      </c>
      <c r="C371" s="20" t="n"/>
      <c r="D371" s="21" t="n"/>
      <c r="E371" s="22" t="n"/>
      <c r="F371" s="21" t="n"/>
      <c r="G371" s="21" t="n"/>
      <c r="H371" s="21" t="n"/>
      <c r="I371" s="20" t="n"/>
      <c r="J371" s="21" t="n"/>
      <c r="K371" s="21" t="n"/>
    </row>
    <row r="372">
      <c r="A372" s="19">
        <f>IF($C372="","CHƯA NHẬP",IF($B372="","HỢP LỆ","LỖI"))</f>
        <v/>
      </c>
      <c r="B372" s="19">
        <f>IF($C372="","",TEXTJOIN(" | ",TRUE,IF($C372="","Thiếu mã nhân viên",""),IF(COUNTIF($C$6:$C$505,$C372)&gt;1,"Trùng mã nhân viên",""),IF($D372="","Thiếu họ tên",""),IF(AND($E372&lt;&gt;"",OR(NOT(ISNUMBER($E372)),$E372&lt;DATE(1940,1,1),$E372&gt;TODAY())),"Ngày sinh không hợp lệ",""),IF(AND($G372&lt;&gt;"",OR(ISERROR(SEARCH("@",$G372)),ISERROR(SEARCH(".",$G372)))),"Email cá nhân không hợp lệ",""),IF(AND($H372&lt;&gt;"",OR(ISERROR(SEARCH("@",$H372)),ISERROR(SEARCH(".",$H372)))),"Email công ty không hợp lệ",""),IF(AND($I372&lt;&gt;"",OR(LEN($I372)&lt;9,LEN($I372)&gt;15,NOT(ISNUMBER(--$I372)))),"Số điện thoại không hợp lệ","")))</f>
        <v/>
      </c>
      <c r="C372" s="20" t="n"/>
      <c r="D372" s="21" t="n"/>
      <c r="E372" s="22" t="n"/>
      <c r="F372" s="21" t="n"/>
      <c r="G372" s="21" t="n"/>
      <c r="H372" s="21" t="n"/>
      <c r="I372" s="20" t="n"/>
      <c r="J372" s="21" t="n"/>
      <c r="K372" s="21" t="n"/>
    </row>
    <row r="373">
      <c r="A373" s="19">
        <f>IF($C373="","CHƯA NHẬP",IF($B373="","HỢP LỆ","LỖI"))</f>
        <v/>
      </c>
      <c r="B373" s="19">
        <f>IF($C373="","",TEXTJOIN(" | ",TRUE,IF($C373="","Thiếu mã nhân viên",""),IF(COUNTIF($C$6:$C$505,$C373)&gt;1,"Trùng mã nhân viên",""),IF($D373="","Thiếu họ tên",""),IF(AND($E373&lt;&gt;"",OR(NOT(ISNUMBER($E373)),$E373&lt;DATE(1940,1,1),$E373&gt;TODAY())),"Ngày sinh không hợp lệ",""),IF(AND($G373&lt;&gt;"",OR(ISERROR(SEARCH("@",$G373)),ISERROR(SEARCH(".",$G373)))),"Email cá nhân không hợp lệ",""),IF(AND($H373&lt;&gt;"",OR(ISERROR(SEARCH("@",$H373)),ISERROR(SEARCH(".",$H373)))),"Email công ty không hợp lệ",""),IF(AND($I373&lt;&gt;"",OR(LEN($I373)&lt;9,LEN($I373)&gt;15,NOT(ISNUMBER(--$I373)))),"Số điện thoại không hợp lệ","")))</f>
        <v/>
      </c>
      <c r="C373" s="20" t="n"/>
      <c r="D373" s="21" t="n"/>
      <c r="E373" s="22" t="n"/>
      <c r="F373" s="21" t="n"/>
      <c r="G373" s="21" t="n"/>
      <c r="H373" s="21" t="n"/>
      <c r="I373" s="20" t="n"/>
      <c r="J373" s="21" t="n"/>
      <c r="K373" s="21" t="n"/>
    </row>
    <row r="374">
      <c r="A374" s="19">
        <f>IF($C374="","CHƯA NHẬP",IF($B374="","HỢP LỆ","LỖI"))</f>
        <v/>
      </c>
      <c r="B374" s="19">
        <f>IF($C374="","",TEXTJOIN(" | ",TRUE,IF($C374="","Thiếu mã nhân viên",""),IF(COUNTIF($C$6:$C$505,$C374)&gt;1,"Trùng mã nhân viên",""),IF($D374="","Thiếu họ tên",""),IF(AND($E374&lt;&gt;"",OR(NOT(ISNUMBER($E374)),$E374&lt;DATE(1940,1,1),$E374&gt;TODAY())),"Ngày sinh không hợp lệ",""),IF(AND($G374&lt;&gt;"",OR(ISERROR(SEARCH("@",$G374)),ISERROR(SEARCH(".",$G374)))),"Email cá nhân không hợp lệ",""),IF(AND($H374&lt;&gt;"",OR(ISERROR(SEARCH("@",$H374)),ISERROR(SEARCH(".",$H374)))),"Email công ty không hợp lệ",""),IF(AND($I374&lt;&gt;"",OR(LEN($I374)&lt;9,LEN($I374)&gt;15,NOT(ISNUMBER(--$I374)))),"Số điện thoại không hợp lệ","")))</f>
        <v/>
      </c>
      <c r="C374" s="20" t="n"/>
      <c r="D374" s="21" t="n"/>
      <c r="E374" s="22" t="n"/>
      <c r="F374" s="21" t="n"/>
      <c r="G374" s="21" t="n"/>
      <c r="H374" s="21" t="n"/>
      <c r="I374" s="20" t="n"/>
      <c r="J374" s="21" t="n"/>
      <c r="K374" s="21" t="n"/>
    </row>
    <row r="375">
      <c r="A375" s="19">
        <f>IF($C375="","CHƯA NHẬP",IF($B375="","HỢP LỆ","LỖI"))</f>
        <v/>
      </c>
      <c r="B375" s="19">
        <f>IF($C375="","",TEXTJOIN(" | ",TRUE,IF($C375="","Thiếu mã nhân viên",""),IF(COUNTIF($C$6:$C$505,$C375)&gt;1,"Trùng mã nhân viên",""),IF($D375="","Thiếu họ tên",""),IF(AND($E375&lt;&gt;"",OR(NOT(ISNUMBER($E375)),$E375&lt;DATE(1940,1,1),$E375&gt;TODAY())),"Ngày sinh không hợp lệ",""),IF(AND($G375&lt;&gt;"",OR(ISERROR(SEARCH("@",$G375)),ISERROR(SEARCH(".",$G375)))),"Email cá nhân không hợp lệ",""),IF(AND($H375&lt;&gt;"",OR(ISERROR(SEARCH("@",$H375)),ISERROR(SEARCH(".",$H375)))),"Email công ty không hợp lệ",""),IF(AND($I375&lt;&gt;"",OR(LEN($I375)&lt;9,LEN($I375)&gt;15,NOT(ISNUMBER(--$I375)))),"Số điện thoại không hợp lệ","")))</f>
        <v/>
      </c>
      <c r="C375" s="20" t="n"/>
      <c r="D375" s="21" t="n"/>
      <c r="E375" s="22" t="n"/>
      <c r="F375" s="21" t="n"/>
      <c r="G375" s="21" t="n"/>
      <c r="H375" s="21" t="n"/>
      <c r="I375" s="20" t="n"/>
      <c r="J375" s="21" t="n"/>
      <c r="K375" s="21" t="n"/>
    </row>
    <row r="376">
      <c r="A376" s="19">
        <f>IF($C376="","CHƯA NHẬP",IF($B376="","HỢP LỆ","LỖI"))</f>
        <v/>
      </c>
      <c r="B376" s="19">
        <f>IF($C376="","",TEXTJOIN(" | ",TRUE,IF($C376="","Thiếu mã nhân viên",""),IF(COUNTIF($C$6:$C$505,$C376)&gt;1,"Trùng mã nhân viên",""),IF($D376="","Thiếu họ tên",""),IF(AND($E376&lt;&gt;"",OR(NOT(ISNUMBER($E376)),$E376&lt;DATE(1940,1,1),$E376&gt;TODAY())),"Ngày sinh không hợp lệ",""),IF(AND($G376&lt;&gt;"",OR(ISERROR(SEARCH("@",$G376)),ISERROR(SEARCH(".",$G376)))),"Email cá nhân không hợp lệ",""),IF(AND($H376&lt;&gt;"",OR(ISERROR(SEARCH("@",$H376)),ISERROR(SEARCH(".",$H376)))),"Email công ty không hợp lệ",""),IF(AND($I376&lt;&gt;"",OR(LEN($I376)&lt;9,LEN($I376)&gt;15,NOT(ISNUMBER(--$I376)))),"Số điện thoại không hợp lệ","")))</f>
        <v/>
      </c>
      <c r="C376" s="20" t="n"/>
      <c r="D376" s="21" t="n"/>
      <c r="E376" s="22" t="n"/>
      <c r="F376" s="21" t="n"/>
      <c r="G376" s="21" t="n"/>
      <c r="H376" s="21" t="n"/>
      <c r="I376" s="20" t="n"/>
      <c r="J376" s="21" t="n"/>
      <c r="K376" s="21" t="n"/>
    </row>
    <row r="377">
      <c r="A377" s="19">
        <f>IF($C377="","CHƯA NHẬP",IF($B377="","HỢP LỆ","LỖI"))</f>
        <v/>
      </c>
      <c r="B377" s="19">
        <f>IF($C377="","",TEXTJOIN(" | ",TRUE,IF($C377="","Thiếu mã nhân viên",""),IF(COUNTIF($C$6:$C$505,$C377)&gt;1,"Trùng mã nhân viên",""),IF($D377="","Thiếu họ tên",""),IF(AND($E377&lt;&gt;"",OR(NOT(ISNUMBER($E377)),$E377&lt;DATE(1940,1,1),$E377&gt;TODAY())),"Ngày sinh không hợp lệ",""),IF(AND($G377&lt;&gt;"",OR(ISERROR(SEARCH("@",$G377)),ISERROR(SEARCH(".",$G377)))),"Email cá nhân không hợp lệ",""),IF(AND($H377&lt;&gt;"",OR(ISERROR(SEARCH("@",$H377)),ISERROR(SEARCH(".",$H377)))),"Email công ty không hợp lệ",""),IF(AND($I377&lt;&gt;"",OR(LEN($I377)&lt;9,LEN($I377)&gt;15,NOT(ISNUMBER(--$I377)))),"Số điện thoại không hợp lệ","")))</f>
        <v/>
      </c>
      <c r="C377" s="20" t="n"/>
      <c r="D377" s="21" t="n"/>
      <c r="E377" s="22" t="n"/>
      <c r="F377" s="21" t="n"/>
      <c r="G377" s="21" t="n"/>
      <c r="H377" s="21" t="n"/>
      <c r="I377" s="20" t="n"/>
      <c r="J377" s="21" t="n"/>
      <c r="K377" s="21" t="n"/>
    </row>
    <row r="378">
      <c r="A378" s="19">
        <f>IF($C378="","CHƯA NHẬP",IF($B378="","HỢP LỆ","LỖI"))</f>
        <v/>
      </c>
      <c r="B378" s="19">
        <f>IF($C378="","",TEXTJOIN(" | ",TRUE,IF($C378="","Thiếu mã nhân viên",""),IF(COUNTIF($C$6:$C$505,$C378)&gt;1,"Trùng mã nhân viên",""),IF($D378="","Thiếu họ tên",""),IF(AND($E378&lt;&gt;"",OR(NOT(ISNUMBER($E378)),$E378&lt;DATE(1940,1,1),$E378&gt;TODAY())),"Ngày sinh không hợp lệ",""),IF(AND($G378&lt;&gt;"",OR(ISERROR(SEARCH("@",$G378)),ISERROR(SEARCH(".",$G378)))),"Email cá nhân không hợp lệ",""),IF(AND($H378&lt;&gt;"",OR(ISERROR(SEARCH("@",$H378)),ISERROR(SEARCH(".",$H378)))),"Email công ty không hợp lệ",""),IF(AND($I378&lt;&gt;"",OR(LEN($I378)&lt;9,LEN($I378)&gt;15,NOT(ISNUMBER(--$I378)))),"Số điện thoại không hợp lệ","")))</f>
        <v/>
      </c>
      <c r="C378" s="20" t="n"/>
      <c r="D378" s="21" t="n"/>
      <c r="E378" s="22" t="n"/>
      <c r="F378" s="21" t="n"/>
      <c r="G378" s="21" t="n"/>
      <c r="H378" s="21" t="n"/>
      <c r="I378" s="20" t="n"/>
      <c r="J378" s="21" t="n"/>
      <c r="K378" s="21" t="n"/>
    </row>
    <row r="379">
      <c r="A379" s="19">
        <f>IF($C379="","CHƯA NHẬP",IF($B379="","HỢP LỆ","LỖI"))</f>
        <v/>
      </c>
      <c r="B379" s="19">
        <f>IF($C379="","",TEXTJOIN(" | ",TRUE,IF($C379="","Thiếu mã nhân viên",""),IF(COUNTIF($C$6:$C$505,$C379)&gt;1,"Trùng mã nhân viên",""),IF($D379="","Thiếu họ tên",""),IF(AND($E379&lt;&gt;"",OR(NOT(ISNUMBER($E379)),$E379&lt;DATE(1940,1,1),$E379&gt;TODAY())),"Ngày sinh không hợp lệ",""),IF(AND($G379&lt;&gt;"",OR(ISERROR(SEARCH("@",$G379)),ISERROR(SEARCH(".",$G379)))),"Email cá nhân không hợp lệ",""),IF(AND($H379&lt;&gt;"",OR(ISERROR(SEARCH("@",$H379)),ISERROR(SEARCH(".",$H379)))),"Email công ty không hợp lệ",""),IF(AND($I379&lt;&gt;"",OR(LEN($I379)&lt;9,LEN($I379)&gt;15,NOT(ISNUMBER(--$I379)))),"Số điện thoại không hợp lệ","")))</f>
        <v/>
      </c>
      <c r="C379" s="20" t="n"/>
      <c r="D379" s="21" t="n"/>
      <c r="E379" s="22" t="n"/>
      <c r="F379" s="21" t="n"/>
      <c r="G379" s="21" t="n"/>
      <c r="H379" s="21" t="n"/>
      <c r="I379" s="20" t="n"/>
      <c r="J379" s="21" t="n"/>
      <c r="K379" s="21" t="n"/>
    </row>
    <row r="380">
      <c r="A380" s="19">
        <f>IF($C380="","CHƯA NHẬP",IF($B380="","HỢP LỆ","LỖI"))</f>
        <v/>
      </c>
      <c r="B380" s="19">
        <f>IF($C380="","",TEXTJOIN(" | ",TRUE,IF($C380="","Thiếu mã nhân viên",""),IF(COUNTIF($C$6:$C$505,$C380)&gt;1,"Trùng mã nhân viên",""),IF($D380="","Thiếu họ tên",""),IF(AND($E380&lt;&gt;"",OR(NOT(ISNUMBER($E380)),$E380&lt;DATE(1940,1,1),$E380&gt;TODAY())),"Ngày sinh không hợp lệ",""),IF(AND($G380&lt;&gt;"",OR(ISERROR(SEARCH("@",$G380)),ISERROR(SEARCH(".",$G380)))),"Email cá nhân không hợp lệ",""),IF(AND($H380&lt;&gt;"",OR(ISERROR(SEARCH("@",$H380)),ISERROR(SEARCH(".",$H380)))),"Email công ty không hợp lệ",""),IF(AND($I380&lt;&gt;"",OR(LEN($I380)&lt;9,LEN($I380)&gt;15,NOT(ISNUMBER(--$I380)))),"Số điện thoại không hợp lệ","")))</f>
        <v/>
      </c>
      <c r="C380" s="20" t="n"/>
      <c r="D380" s="21" t="n"/>
      <c r="E380" s="22" t="n"/>
      <c r="F380" s="21" t="n"/>
      <c r="G380" s="21" t="n"/>
      <c r="H380" s="21" t="n"/>
      <c r="I380" s="20" t="n"/>
      <c r="J380" s="21" t="n"/>
      <c r="K380" s="21" t="n"/>
    </row>
    <row r="381">
      <c r="A381" s="19">
        <f>IF($C381="","CHƯA NHẬP",IF($B381="","HỢP LỆ","LỖI"))</f>
        <v/>
      </c>
      <c r="B381" s="19">
        <f>IF($C381="","",TEXTJOIN(" | ",TRUE,IF($C381="","Thiếu mã nhân viên",""),IF(COUNTIF($C$6:$C$505,$C381)&gt;1,"Trùng mã nhân viên",""),IF($D381="","Thiếu họ tên",""),IF(AND($E381&lt;&gt;"",OR(NOT(ISNUMBER($E381)),$E381&lt;DATE(1940,1,1),$E381&gt;TODAY())),"Ngày sinh không hợp lệ",""),IF(AND($G381&lt;&gt;"",OR(ISERROR(SEARCH("@",$G381)),ISERROR(SEARCH(".",$G381)))),"Email cá nhân không hợp lệ",""),IF(AND($H381&lt;&gt;"",OR(ISERROR(SEARCH("@",$H381)),ISERROR(SEARCH(".",$H381)))),"Email công ty không hợp lệ",""),IF(AND($I381&lt;&gt;"",OR(LEN($I381)&lt;9,LEN($I381)&gt;15,NOT(ISNUMBER(--$I381)))),"Số điện thoại không hợp lệ","")))</f>
        <v/>
      </c>
      <c r="C381" s="20" t="n"/>
      <c r="D381" s="21" t="n"/>
      <c r="E381" s="22" t="n"/>
      <c r="F381" s="21" t="n"/>
      <c r="G381" s="21" t="n"/>
      <c r="H381" s="21" t="n"/>
      <c r="I381" s="20" t="n"/>
      <c r="J381" s="21" t="n"/>
      <c r="K381" s="21" t="n"/>
    </row>
    <row r="382">
      <c r="A382" s="19">
        <f>IF($C382="","CHƯA NHẬP",IF($B382="","HỢP LỆ","LỖI"))</f>
        <v/>
      </c>
      <c r="B382" s="19">
        <f>IF($C382="","",TEXTJOIN(" | ",TRUE,IF($C382="","Thiếu mã nhân viên",""),IF(COUNTIF($C$6:$C$505,$C382)&gt;1,"Trùng mã nhân viên",""),IF($D382="","Thiếu họ tên",""),IF(AND($E382&lt;&gt;"",OR(NOT(ISNUMBER($E382)),$E382&lt;DATE(1940,1,1),$E382&gt;TODAY())),"Ngày sinh không hợp lệ",""),IF(AND($G382&lt;&gt;"",OR(ISERROR(SEARCH("@",$G382)),ISERROR(SEARCH(".",$G382)))),"Email cá nhân không hợp lệ",""),IF(AND($H382&lt;&gt;"",OR(ISERROR(SEARCH("@",$H382)),ISERROR(SEARCH(".",$H382)))),"Email công ty không hợp lệ",""),IF(AND($I382&lt;&gt;"",OR(LEN($I382)&lt;9,LEN($I382)&gt;15,NOT(ISNUMBER(--$I382)))),"Số điện thoại không hợp lệ","")))</f>
        <v/>
      </c>
      <c r="C382" s="20" t="n"/>
      <c r="D382" s="21" t="n"/>
      <c r="E382" s="22" t="n"/>
      <c r="F382" s="21" t="n"/>
      <c r="G382" s="21" t="n"/>
      <c r="H382" s="21" t="n"/>
      <c r="I382" s="20" t="n"/>
      <c r="J382" s="21" t="n"/>
      <c r="K382" s="21" t="n"/>
    </row>
    <row r="383">
      <c r="A383" s="19">
        <f>IF($C383="","CHƯA NHẬP",IF($B383="","HỢP LỆ","LỖI"))</f>
        <v/>
      </c>
      <c r="B383" s="19">
        <f>IF($C383="","",TEXTJOIN(" | ",TRUE,IF($C383="","Thiếu mã nhân viên",""),IF(COUNTIF($C$6:$C$505,$C383)&gt;1,"Trùng mã nhân viên",""),IF($D383="","Thiếu họ tên",""),IF(AND($E383&lt;&gt;"",OR(NOT(ISNUMBER($E383)),$E383&lt;DATE(1940,1,1),$E383&gt;TODAY())),"Ngày sinh không hợp lệ",""),IF(AND($G383&lt;&gt;"",OR(ISERROR(SEARCH("@",$G383)),ISERROR(SEARCH(".",$G383)))),"Email cá nhân không hợp lệ",""),IF(AND($H383&lt;&gt;"",OR(ISERROR(SEARCH("@",$H383)),ISERROR(SEARCH(".",$H383)))),"Email công ty không hợp lệ",""),IF(AND($I383&lt;&gt;"",OR(LEN($I383)&lt;9,LEN($I383)&gt;15,NOT(ISNUMBER(--$I383)))),"Số điện thoại không hợp lệ","")))</f>
        <v/>
      </c>
      <c r="C383" s="20" t="n"/>
      <c r="D383" s="21" t="n"/>
      <c r="E383" s="22" t="n"/>
      <c r="F383" s="21" t="n"/>
      <c r="G383" s="21" t="n"/>
      <c r="H383" s="21" t="n"/>
      <c r="I383" s="20" t="n"/>
      <c r="J383" s="21" t="n"/>
      <c r="K383" s="21" t="n"/>
    </row>
    <row r="384">
      <c r="A384" s="19">
        <f>IF($C384="","CHƯA NHẬP",IF($B384="","HỢP LỆ","LỖI"))</f>
        <v/>
      </c>
      <c r="B384" s="19">
        <f>IF($C384="","",TEXTJOIN(" | ",TRUE,IF($C384="","Thiếu mã nhân viên",""),IF(COUNTIF($C$6:$C$505,$C384)&gt;1,"Trùng mã nhân viên",""),IF($D384="","Thiếu họ tên",""),IF(AND($E384&lt;&gt;"",OR(NOT(ISNUMBER($E384)),$E384&lt;DATE(1940,1,1),$E384&gt;TODAY())),"Ngày sinh không hợp lệ",""),IF(AND($G384&lt;&gt;"",OR(ISERROR(SEARCH("@",$G384)),ISERROR(SEARCH(".",$G384)))),"Email cá nhân không hợp lệ",""),IF(AND($H384&lt;&gt;"",OR(ISERROR(SEARCH("@",$H384)),ISERROR(SEARCH(".",$H384)))),"Email công ty không hợp lệ",""),IF(AND($I384&lt;&gt;"",OR(LEN($I384)&lt;9,LEN($I384)&gt;15,NOT(ISNUMBER(--$I384)))),"Số điện thoại không hợp lệ","")))</f>
        <v/>
      </c>
      <c r="C384" s="20" t="n"/>
      <c r="D384" s="21" t="n"/>
      <c r="E384" s="22" t="n"/>
      <c r="F384" s="21" t="n"/>
      <c r="G384" s="21" t="n"/>
      <c r="H384" s="21" t="n"/>
      <c r="I384" s="20" t="n"/>
      <c r="J384" s="21" t="n"/>
      <c r="K384" s="21" t="n"/>
    </row>
    <row r="385">
      <c r="A385" s="19">
        <f>IF($C385="","CHƯA NHẬP",IF($B385="","HỢP LỆ","LỖI"))</f>
        <v/>
      </c>
      <c r="B385" s="19">
        <f>IF($C385="","",TEXTJOIN(" | ",TRUE,IF($C385="","Thiếu mã nhân viên",""),IF(COUNTIF($C$6:$C$505,$C385)&gt;1,"Trùng mã nhân viên",""),IF($D385="","Thiếu họ tên",""),IF(AND($E385&lt;&gt;"",OR(NOT(ISNUMBER($E385)),$E385&lt;DATE(1940,1,1),$E385&gt;TODAY())),"Ngày sinh không hợp lệ",""),IF(AND($G385&lt;&gt;"",OR(ISERROR(SEARCH("@",$G385)),ISERROR(SEARCH(".",$G385)))),"Email cá nhân không hợp lệ",""),IF(AND($H385&lt;&gt;"",OR(ISERROR(SEARCH("@",$H385)),ISERROR(SEARCH(".",$H385)))),"Email công ty không hợp lệ",""),IF(AND($I385&lt;&gt;"",OR(LEN($I385)&lt;9,LEN($I385)&gt;15,NOT(ISNUMBER(--$I385)))),"Số điện thoại không hợp lệ","")))</f>
        <v/>
      </c>
      <c r="C385" s="20" t="n"/>
      <c r="D385" s="21" t="n"/>
      <c r="E385" s="22" t="n"/>
      <c r="F385" s="21" t="n"/>
      <c r="G385" s="21" t="n"/>
      <c r="H385" s="21" t="n"/>
      <c r="I385" s="20" t="n"/>
      <c r="J385" s="21" t="n"/>
      <c r="K385" s="21" t="n"/>
    </row>
    <row r="386">
      <c r="A386" s="19">
        <f>IF($C386="","CHƯA NHẬP",IF($B386="","HỢP LỆ","LỖI"))</f>
        <v/>
      </c>
      <c r="B386" s="19">
        <f>IF($C386="","",TEXTJOIN(" | ",TRUE,IF($C386="","Thiếu mã nhân viên",""),IF(COUNTIF($C$6:$C$505,$C386)&gt;1,"Trùng mã nhân viên",""),IF($D386="","Thiếu họ tên",""),IF(AND($E386&lt;&gt;"",OR(NOT(ISNUMBER($E386)),$E386&lt;DATE(1940,1,1),$E386&gt;TODAY())),"Ngày sinh không hợp lệ",""),IF(AND($G386&lt;&gt;"",OR(ISERROR(SEARCH("@",$G386)),ISERROR(SEARCH(".",$G386)))),"Email cá nhân không hợp lệ",""),IF(AND($H386&lt;&gt;"",OR(ISERROR(SEARCH("@",$H386)),ISERROR(SEARCH(".",$H386)))),"Email công ty không hợp lệ",""),IF(AND($I386&lt;&gt;"",OR(LEN($I386)&lt;9,LEN($I386)&gt;15,NOT(ISNUMBER(--$I386)))),"Số điện thoại không hợp lệ","")))</f>
        <v/>
      </c>
      <c r="C386" s="20" t="n"/>
      <c r="D386" s="21" t="n"/>
      <c r="E386" s="22" t="n"/>
      <c r="F386" s="21" t="n"/>
      <c r="G386" s="21" t="n"/>
      <c r="H386" s="21" t="n"/>
      <c r="I386" s="20" t="n"/>
      <c r="J386" s="21" t="n"/>
      <c r="K386" s="21" t="n"/>
    </row>
    <row r="387">
      <c r="A387" s="19">
        <f>IF($C387="","CHƯA NHẬP",IF($B387="","HỢP LỆ","LỖI"))</f>
        <v/>
      </c>
      <c r="B387" s="19">
        <f>IF($C387="","",TEXTJOIN(" | ",TRUE,IF($C387="","Thiếu mã nhân viên",""),IF(COUNTIF($C$6:$C$505,$C387)&gt;1,"Trùng mã nhân viên",""),IF($D387="","Thiếu họ tên",""),IF(AND($E387&lt;&gt;"",OR(NOT(ISNUMBER($E387)),$E387&lt;DATE(1940,1,1),$E387&gt;TODAY())),"Ngày sinh không hợp lệ",""),IF(AND($G387&lt;&gt;"",OR(ISERROR(SEARCH("@",$G387)),ISERROR(SEARCH(".",$G387)))),"Email cá nhân không hợp lệ",""),IF(AND($H387&lt;&gt;"",OR(ISERROR(SEARCH("@",$H387)),ISERROR(SEARCH(".",$H387)))),"Email công ty không hợp lệ",""),IF(AND($I387&lt;&gt;"",OR(LEN($I387)&lt;9,LEN($I387)&gt;15,NOT(ISNUMBER(--$I387)))),"Số điện thoại không hợp lệ","")))</f>
        <v/>
      </c>
      <c r="C387" s="20" t="n"/>
      <c r="D387" s="21" t="n"/>
      <c r="E387" s="22" t="n"/>
      <c r="F387" s="21" t="n"/>
      <c r="G387" s="21" t="n"/>
      <c r="H387" s="21" t="n"/>
      <c r="I387" s="20" t="n"/>
      <c r="J387" s="21" t="n"/>
      <c r="K387" s="21" t="n"/>
    </row>
    <row r="388">
      <c r="A388" s="19">
        <f>IF($C388="","CHƯA NHẬP",IF($B388="","HỢP LỆ","LỖI"))</f>
        <v/>
      </c>
      <c r="B388" s="19">
        <f>IF($C388="","",TEXTJOIN(" | ",TRUE,IF($C388="","Thiếu mã nhân viên",""),IF(COUNTIF($C$6:$C$505,$C388)&gt;1,"Trùng mã nhân viên",""),IF($D388="","Thiếu họ tên",""),IF(AND($E388&lt;&gt;"",OR(NOT(ISNUMBER($E388)),$E388&lt;DATE(1940,1,1),$E388&gt;TODAY())),"Ngày sinh không hợp lệ",""),IF(AND($G388&lt;&gt;"",OR(ISERROR(SEARCH("@",$G388)),ISERROR(SEARCH(".",$G388)))),"Email cá nhân không hợp lệ",""),IF(AND($H388&lt;&gt;"",OR(ISERROR(SEARCH("@",$H388)),ISERROR(SEARCH(".",$H388)))),"Email công ty không hợp lệ",""),IF(AND($I388&lt;&gt;"",OR(LEN($I388)&lt;9,LEN($I388)&gt;15,NOT(ISNUMBER(--$I388)))),"Số điện thoại không hợp lệ","")))</f>
        <v/>
      </c>
      <c r="C388" s="20" t="n"/>
      <c r="D388" s="21" t="n"/>
      <c r="E388" s="22" t="n"/>
      <c r="F388" s="21" t="n"/>
      <c r="G388" s="21" t="n"/>
      <c r="H388" s="21" t="n"/>
      <c r="I388" s="20" t="n"/>
      <c r="J388" s="21" t="n"/>
      <c r="K388" s="21" t="n"/>
    </row>
    <row r="389">
      <c r="A389" s="19">
        <f>IF($C389="","CHƯA NHẬP",IF($B389="","HỢP LỆ","LỖI"))</f>
        <v/>
      </c>
      <c r="B389" s="19">
        <f>IF($C389="","",TEXTJOIN(" | ",TRUE,IF($C389="","Thiếu mã nhân viên",""),IF(COUNTIF($C$6:$C$505,$C389)&gt;1,"Trùng mã nhân viên",""),IF($D389="","Thiếu họ tên",""),IF(AND($E389&lt;&gt;"",OR(NOT(ISNUMBER($E389)),$E389&lt;DATE(1940,1,1),$E389&gt;TODAY())),"Ngày sinh không hợp lệ",""),IF(AND($G389&lt;&gt;"",OR(ISERROR(SEARCH("@",$G389)),ISERROR(SEARCH(".",$G389)))),"Email cá nhân không hợp lệ",""),IF(AND($H389&lt;&gt;"",OR(ISERROR(SEARCH("@",$H389)),ISERROR(SEARCH(".",$H389)))),"Email công ty không hợp lệ",""),IF(AND($I389&lt;&gt;"",OR(LEN($I389)&lt;9,LEN($I389)&gt;15,NOT(ISNUMBER(--$I389)))),"Số điện thoại không hợp lệ","")))</f>
        <v/>
      </c>
      <c r="C389" s="20" t="n"/>
      <c r="D389" s="21" t="n"/>
      <c r="E389" s="22" t="n"/>
      <c r="F389" s="21" t="n"/>
      <c r="G389" s="21" t="n"/>
      <c r="H389" s="21" t="n"/>
      <c r="I389" s="20" t="n"/>
      <c r="J389" s="21" t="n"/>
      <c r="K389" s="21" t="n"/>
    </row>
    <row r="390">
      <c r="A390" s="19">
        <f>IF($C390="","CHƯA NHẬP",IF($B390="","HỢP LỆ","LỖI"))</f>
        <v/>
      </c>
      <c r="B390" s="19">
        <f>IF($C390="","",TEXTJOIN(" | ",TRUE,IF($C390="","Thiếu mã nhân viên",""),IF(COUNTIF($C$6:$C$505,$C390)&gt;1,"Trùng mã nhân viên",""),IF($D390="","Thiếu họ tên",""),IF(AND($E390&lt;&gt;"",OR(NOT(ISNUMBER($E390)),$E390&lt;DATE(1940,1,1),$E390&gt;TODAY())),"Ngày sinh không hợp lệ",""),IF(AND($G390&lt;&gt;"",OR(ISERROR(SEARCH("@",$G390)),ISERROR(SEARCH(".",$G390)))),"Email cá nhân không hợp lệ",""),IF(AND($H390&lt;&gt;"",OR(ISERROR(SEARCH("@",$H390)),ISERROR(SEARCH(".",$H390)))),"Email công ty không hợp lệ",""),IF(AND($I390&lt;&gt;"",OR(LEN($I390)&lt;9,LEN($I390)&gt;15,NOT(ISNUMBER(--$I390)))),"Số điện thoại không hợp lệ","")))</f>
        <v/>
      </c>
      <c r="C390" s="20" t="n"/>
      <c r="D390" s="21" t="n"/>
      <c r="E390" s="22" t="n"/>
      <c r="F390" s="21" t="n"/>
      <c r="G390" s="21" t="n"/>
      <c r="H390" s="21" t="n"/>
      <c r="I390" s="20" t="n"/>
      <c r="J390" s="21" t="n"/>
      <c r="K390" s="21" t="n"/>
    </row>
    <row r="391">
      <c r="A391" s="19">
        <f>IF($C391="","CHƯA NHẬP",IF($B391="","HỢP LỆ","LỖI"))</f>
        <v/>
      </c>
      <c r="B391" s="19">
        <f>IF($C391="","",TEXTJOIN(" | ",TRUE,IF($C391="","Thiếu mã nhân viên",""),IF(COUNTIF($C$6:$C$505,$C391)&gt;1,"Trùng mã nhân viên",""),IF($D391="","Thiếu họ tên",""),IF(AND($E391&lt;&gt;"",OR(NOT(ISNUMBER($E391)),$E391&lt;DATE(1940,1,1),$E391&gt;TODAY())),"Ngày sinh không hợp lệ",""),IF(AND($G391&lt;&gt;"",OR(ISERROR(SEARCH("@",$G391)),ISERROR(SEARCH(".",$G391)))),"Email cá nhân không hợp lệ",""),IF(AND($H391&lt;&gt;"",OR(ISERROR(SEARCH("@",$H391)),ISERROR(SEARCH(".",$H391)))),"Email công ty không hợp lệ",""),IF(AND($I391&lt;&gt;"",OR(LEN($I391)&lt;9,LEN($I391)&gt;15,NOT(ISNUMBER(--$I391)))),"Số điện thoại không hợp lệ","")))</f>
        <v/>
      </c>
      <c r="C391" s="20" t="n"/>
      <c r="D391" s="21" t="n"/>
      <c r="E391" s="22" t="n"/>
      <c r="F391" s="21" t="n"/>
      <c r="G391" s="21" t="n"/>
      <c r="H391" s="21" t="n"/>
      <c r="I391" s="20" t="n"/>
      <c r="J391" s="21" t="n"/>
      <c r="K391" s="21" t="n"/>
    </row>
    <row r="392">
      <c r="A392" s="19">
        <f>IF($C392="","CHƯA NHẬP",IF($B392="","HỢP LỆ","LỖI"))</f>
        <v/>
      </c>
      <c r="B392" s="19">
        <f>IF($C392="","",TEXTJOIN(" | ",TRUE,IF($C392="","Thiếu mã nhân viên",""),IF(COUNTIF($C$6:$C$505,$C392)&gt;1,"Trùng mã nhân viên",""),IF($D392="","Thiếu họ tên",""),IF(AND($E392&lt;&gt;"",OR(NOT(ISNUMBER($E392)),$E392&lt;DATE(1940,1,1),$E392&gt;TODAY())),"Ngày sinh không hợp lệ",""),IF(AND($G392&lt;&gt;"",OR(ISERROR(SEARCH("@",$G392)),ISERROR(SEARCH(".",$G392)))),"Email cá nhân không hợp lệ",""),IF(AND($H392&lt;&gt;"",OR(ISERROR(SEARCH("@",$H392)),ISERROR(SEARCH(".",$H392)))),"Email công ty không hợp lệ",""),IF(AND($I392&lt;&gt;"",OR(LEN($I392)&lt;9,LEN($I392)&gt;15,NOT(ISNUMBER(--$I392)))),"Số điện thoại không hợp lệ","")))</f>
        <v/>
      </c>
      <c r="C392" s="20" t="n"/>
      <c r="D392" s="21" t="n"/>
      <c r="E392" s="22" t="n"/>
      <c r="F392" s="21" t="n"/>
      <c r="G392" s="21" t="n"/>
      <c r="H392" s="21" t="n"/>
      <c r="I392" s="20" t="n"/>
      <c r="J392" s="21" t="n"/>
      <c r="K392" s="21" t="n"/>
    </row>
    <row r="393">
      <c r="A393" s="19">
        <f>IF($C393="","CHƯA NHẬP",IF($B393="","HỢP LỆ","LỖI"))</f>
        <v/>
      </c>
      <c r="B393" s="19">
        <f>IF($C393="","",TEXTJOIN(" | ",TRUE,IF($C393="","Thiếu mã nhân viên",""),IF(COUNTIF($C$6:$C$505,$C393)&gt;1,"Trùng mã nhân viên",""),IF($D393="","Thiếu họ tên",""),IF(AND($E393&lt;&gt;"",OR(NOT(ISNUMBER($E393)),$E393&lt;DATE(1940,1,1),$E393&gt;TODAY())),"Ngày sinh không hợp lệ",""),IF(AND($G393&lt;&gt;"",OR(ISERROR(SEARCH("@",$G393)),ISERROR(SEARCH(".",$G393)))),"Email cá nhân không hợp lệ",""),IF(AND($H393&lt;&gt;"",OR(ISERROR(SEARCH("@",$H393)),ISERROR(SEARCH(".",$H393)))),"Email công ty không hợp lệ",""),IF(AND($I393&lt;&gt;"",OR(LEN($I393)&lt;9,LEN($I393)&gt;15,NOT(ISNUMBER(--$I393)))),"Số điện thoại không hợp lệ","")))</f>
        <v/>
      </c>
      <c r="C393" s="20" t="n"/>
      <c r="D393" s="21" t="n"/>
      <c r="E393" s="22" t="n"/>
      <c r="F393" s="21" t="n"/>
      <c r="G393" s="21" t="n"/>
      <c r="H393" s="21" t="n"/>
      <c r="I393" s="20" t="n"/>
      <c r="J393" s="21" t="n"/>
      <c r="K393" s="21" t="n"/>
    </row>
    <row r="394">
      <c r="A394" s="19">
        <f>IF($C394="","CHƯA NHẬP",IF($B394="","HỢP LỆ","LỖI"))</f>
        <v/>
      </c>
      <c r="B394" s="19">
        <f>IF($C394="","",TEXTJOIN(" | ",TRUE,IF($C394="","Thiếu mã nhân viên",""),IF(COUNTIF($C$6:$C$505,$C394)&gt;1,"Trùng mã nhân viên",""),IF($D394="","Thiếu họ tên",""),IF(AND($E394&lt;&gt;"",OR(NOT(ISNUMBER($E394)),$E394&lt;DATE(1940,1,1),$E394&gt;TODAY())),"Ngày sinh không hợp lệ",""),IF(AND($G394&lt;&gt;"",OR(ISERROR(SEARCH("@",$G394)),ISERROR(SEARCH(".",$G394)))),"Email cá nhân không hợp lệ",""),IF(AND($H394&lt;&gt;"",OR(ISERROR(SEARCH("@",$H394)),ISERROR(SEARCH(".",$H394)))),"Email công ty không hợp lệ",""),IF(AND($I394&lt;&gt;"",OR(LEN($I394)&lt;9,LEN($I394)&gt;15,NOT(ISNUMBER(--$I394)))),"Số điện thoại không hợp lệ","")))</f>
        <v/>
      </c>
      <c r="C394" s="20" t="n"/>
      <c r="D394" s="21" t="n"/>
      <c r="E394" s="22" t="n"/>
      <c r="F394" s="21" t="n"/>
      <c r="G394" s="21" t="n"/>
      <c r="H394" s="21" t="n"/>
      <c r="I394" s="20" t="n"/>
      <c r="J394" s="21" t="n"/>
      <c r="K394" s="21" t="n"/>
    </row>
    <row r="395">
      <c r="A395" s="19">
        <f>IF($C395="","CHƯA NHẬP",IF($B395="","HỢP LỆ","LỖI"))</f>
        <v/>
      </c>
      <c r="B395" s="19">
        <f>IF($C395="","",TEXTJOIN(" | ",TRUE,IF($C395="","Thiếu mã nhân viên",""),IF(COUNTIF($C$6:$C$505,$C395)&gt;1,"Trùng mã nhân viên",""),IF($D395="","Thiếu họ tên",""),IF(AND($E395&lt;&gt;"",OR(NOT(ISNUMBER($E395)),$E395&lt;DATE(1940,1,1),$E395&gt;TODAY())),"Ngày sinh không hợp lệ",""),IF(AND($G395&lt;&gt;"",OR(ISERROR(SEARCH("@",$G395)),ISERROR(SEARCH(".",$G395)))),"Email cá nhân không hợp lệ",""),IF(AND($H395&lt;&gt;"",OR(ISERROR(SEARCH("@",$H395)),ISERROR(SEARCH(".",$H395)))),"Email công ty không hợp lệ",""),IF(AND($I395&lt;&gt;"",OR(LEN($I395)&lt;9,LEN($I395)&gt;15,NOT(ISNUMBER(--$I395)))),"Số điện thoại không hợp lệ","")))</f>
        <v/>
      </c>
      <c r="C395" s="20" t="n"/>
      <c r="D395" s="21" t="n"/>
      <c r="E395" s="22" t="n"/>
      <c r="F395" s="21" t="n"/>
      <c r="G395" s="21" t="n"/>
      <c r="H395" s="21" t="n"/>
      <c r="I395" s="20" t="n"/>
      <c r="J395" s="21" t="n"/>
      <c r="K395" s="21" t="n"/>
    </row>
    <row r="396">
      <c r="A396" s="19">
        <f>IF($C396="","CHƯA NHẬP",IF($B396="","HỢP LỆ","LỖI"))</f>
        <v/>
      </c>
      <c r="B396" s="19">
        <f>IF($C396="","",TEXTJOIN(" | ",TRUE,IF($C396="","Thiếu mã nhân viên",""),IF(COUNTIF($C$6:$C$505,$C396)&gt;1,"Trùng mã nhân viên",""),IF($D396="","Thiếu họ tên",""),IF(AND($E396&lt;&gt;"",OR(NOT(ISNUMBER($E396)),$E396&lt;DATE(1940,1,1),$E396&gt;TODAY())),"Ngày sinh không hợp lệ",""),IF(AND($G396&lt;&gt;"",OR(ISERROR(SEARCH("@",$G396)),ISERROR(SEARCH(".",$G396)))),"Email cá nhân không hợp lệ",""),IF(AND($H396&lt;&gt;"",OR(ISERROR(SEARCH("@",$H396)),ISERROR(SEARCH(".",$H396)))),"Email công ty không hợp lệ",""),IF(AND($I396&lt;&gt;"",OR(LEN($I396)&lt;9,LEN($I396)&gt;15,NOT(ISNUMBER(--$I396)))),"Số điện thoại không hợp lệ","")))</f>
        <v/>
      </c>
      <c r="C396" s="20" t="n"/>
      <c r="D396" s="21" t="n"/>
      <c r="E396" s="22" t="n"/>
      <c r="F396" s="21" t="n"/>
      <c r="G396" s="21" t="n"/>
      <c r="H396" s="21" t="n"/>
      <c r="I396" s="20" t="n"/>
      <c r="J396" s="21" t="n"/>
      <c r="K396" s="21" t="n"/>
    </row>
    <row r="397">
      <c r="A397" s="19">
        <f>IF($C397="","CHƯA NHẬP",IF($B397="","HỢP LỆ","LỖI"))</f>
        <v/>
      </c>
      <c r="B397" s="19">
        <f>IF($C397="","",TEXTJOIN(" | ",TRUE,IF($C397="","Thiếu mã nhân viên",""),IF(COUNTIF($C$6:$C$505,$C397)&gt;1,"Trùng mã nhân viên",""),IF($D397="","Thiếu họ tên",""),IF(AND($E397&lt;&gt;"",OR(NOT(ISNUMBER($E397)),$E397&lt;DATE(1940,1,1),$E397&gt;TODAY())),"Ngày sinh không hợp lệ",""),IF(AND($G397&lt;&gt;"",OR(ISERROR(SEARCH("@",$G397)),ISERROR(SEARCH(".",$G397)))),"Email cá nhân không hợp lệ",""),IF(AND($H397&lt;&gt;"",OR(ISERROR(SEARCH("@",$H397)),ISERROR(SEARCH(".",$H397)))),"Email công ty không hợp lệ",""),IF(AND($I397&lt;&gt;"",OR(LEN($I397)&lt;9,LEN($I397)&gt;15,NOT(ISNUMBER(--$I397)))),"Số điện thoại không hợp lệ","")))</f>
        <v/>
      </c>
      <c r="C397" s="20" t="n"/>
      <c r="D397" s="21" t="n"/>
      <c r="E397" s="22" t="n"/>
      <c r="F397" s="21" t="n"/>
      <c r="G397" s="21" t="n"/>
      <c r="H397" s="21" t="n"/>
      <c r="I397" s="20" t="n"/>
      <c r="J397" s="21" t="n"/>
      <c r="K397" s="21" t="n"/>
    </row>
    <row r="398">
      <c r="A398" s="19">
        <f>IF($C398="","CHƯA NHẬP",IF($B398="","HỢP LỆ","LỖI"))</f>
        <v/>
      </c>
      <c r="B398" s="19">
        <f>IF($C398="","",TEXTJOIN(" | ",TRUE,IF($C398="","Thiếu mã nhân viên",""),IF(COUNTIF($C$6:$C$505,$C398)&gt;1,"Trùng mã nhân viên",""),IF($D398="","Thiếu họ tên",""),IF(AND($E398&lt;&gt;"",OR(NOT(ISNUMBER($E398)),$E398&lt;DATE(1940,1,1),$E398&gt;TODAY())),"Ngày sinh không hợp lệ",""),IF(AND($G398&lt;&gt;"",OR(ISERROR(SEARCH("@",$G398)),ISERROR(SEARCH(".",$G398)))),"Email cá nhân không hợp lệ",""),IF(AND($H398&lt;&gt;"",OR(ISERROR(SEARCH("@",$H398)),ISERROR(SEARCH(".",$H398)))),"Email công ty không hợp lệ",""),IF(AND($I398&lt;&gt;"",OR(LEN($I398)&lt;9,LEN($I398)&gt;15,NOT(ISNUMBER(--$I398)))),"Số điện thoại không hợp lệ","")))</f>
        <v/>
      </c>
      <c r="C398" s="20" t="n"/>
      <c r="D398" s="21" t="n"/>
      <c r="E398" s="22" t="n"/>
      <c r="F398" s="21" t="n"/>
      <c r="G398" s="21" t="n"/>
      <c r="H398" s="21" t="n"/>
      <c r="I398" s="20" t="n"/>
      <c r="J398" s="21" t="n"/>
      <c r="K398" s="21" t="n"/>
    </row>
    <row r="399">
      <c r="A399" s="19">
        <f>IF($C399="","CHƯA NHẬP",IF($B399="","HỢP LỆ","LỖI"))</f>
        <v/>
      </c>
      <c r="B399" s="19">
        <f>IF($C399="","",TEXTJOIN(" | ",TRUE,IF($C399="","Thiếu mã nhân viên",""),IF(COUNTIF($C$6:$C$505,$C399)&gt;1,"Trùng mã nhân viên",""),IF($D399="","Thiếu họ tên",""),IF(AND($E399&lt;&gt;"",OR(NOT(ISNUMBER($E399)),$E399&lt;DATE(1940,1,1),$E399&gt;TODAY())),"Ngày sinh không hợp lệ",""),IF(AND($G399&lt;&gt;"",OR(ISERROR(SEARCH("@",$G399)),ISERROR(SEARCH(".",$G399)))),"Email cá nhân không hợp lệ",""),IF(AND($H399&lt;&gt;"",OR(ISERROR(SEARCH("@",$H399)),ISERROR(SEARCH(".",$H399)))),"Email công ty không hợp lệ",""),IF(AND($I399&lt;&gt;"",OR(LEN($I399)&lt;9,LEN($I399)&gt;15,NOT(ISNUMBER(--$I399)))),"Số điện thoại không hợp lệ","")))</f>
        <v/>
      </c>
      <c r="C399" s="20" t="n"/>
      <c r="D399" s="21" t="n"/>
      <c r="E399" s="22" t="n"/>
      <c r="F399" s="21" t="n"/>
      <c r="G399" s="21" t="n"/>
      <c r="H399" s="21" t="n"/>
      <c r="I399" s="20" t="n"/>
      <c r="J399" s="21" t="n"/>
      <c r="K399" s="21" t="n"/>
    </row>
    <row r="400">
      <c r="A400" s="19">
        <f>IF($C400="","CHƯA NHẬP",IF($B400="","HỢP LỆ","LỖI"))</f>
        <v/>
      </c>
      <c r="B400" s="19">
        <f>IF($C400="","",TEXTJOIN(" | ",TRUE,IF($C400="","Thiếu mã nhân viên",""),IF(COUNTIF($C$6:$C$505,$C400)&gt;1,"Trùng mã nhân viên",""),IF($D400="","Thiếu họ tên",""),IF(AND($E400&lt;&gt;"",OR(NOT(ISNUMBER($E400)),$E400&lt;DATE(1940,1,1),$E400&gt;TODAY())),"Ngày sinh không hợp lệ",""),IF(AND($G400&lt;&gt;"",OR(ISERROR(SEARCH("@",$G400)),ISERROR(SEARCH(".",$G400)))),"Email cá nhân không hợp lệ",""),IF(AND($H400&lt;&gt;"",OR(ISERROR(SEARCH("@",$H400)),ISERROR(SEARCH(".",$H400)))),"Email công ty không hợp lệ",""),IF(AND($I400&lt;&gt;"",OR(LEN($I400)&lt;9,LEN($I400)&gt;15,NOT(ISNUMBER(--$I400)))),"Số điện thoại không hợp lệ","")))</f>
        <v/>
      </c>
      <c r="C400" s="20" t="n"/>
      <c r="D400" s="21" t="n"/>
      <c r="E400" s="22" t="n"/>
      <c r="F400" s="21" t="n"/>
      <c r="G400" s="21" t="n"/>
      <c r="H400" s="21" t="n"/>
      <c r="I400" s="20" t="n"/>
      <c r="J400" s="21" t="n"/>
      <c r="K400" s="21" t="n"/>
    </row>
    <row r="401">
      <c r="A401" s="19">
        <f>IF($C401="","CHƯA NHẬP",IF($B401="","HỢP LỆ","LỖI"))</f>
        <v/>
      </c>
      <c r="B401" s="19">
        <f>IF($C401="","",TEXTJOIN(" | ",TRUE,IF($C401="","Thiếu mã nhân viên",""),IF(COUNTIF($C$6:$C$505,$C401)&gt;1,"Trùng mã nhân viên",""),IF($D401="","Thiếu họ tên",""),IF(AND($E401&lt;&gt;"",OR(NOT(ISNUMBER($E401)),$E401&lt;DATE(1940,1,1),$E401&gt;TODAY())),"Ngày sinh không hợp lệ",""),IF(AND($G401&lt;&gt;"",OR(ISERROR(SEARCH("@",$G401)),ISERROR(SEARCH(".",$G401)))),"Email cá nhân không hợp lệ",""),IF(AND($H401&lt;&gt;"",OR(ISERROR(SEARCH("@",$H401)),ISERROR(SEARCH(".",$H401)))),"Email công ty không hợp lệ",""),IF(AND($I401&lt;&gt;"",OR(LEN($I401)&lt;9,LEN($I401)&gt;15,NOT(ISNUMBER(--$I401)))),"Số điện thoại không hợp lệ","")))</f>
        <v/>
      </c>
      <c r="C401" s="20" t="n"/>
      <c r="D401" s="21" t="n"/>
      <c r="E401" s="22" t="n"/>
      <c r="F401" s="21" t="n"/>
      <c r="G401" s="21" t="n"/>
      <c r="H401" s="21" t="n"/>
      <c r="I401" s="20" t="n"/>
      <c r="J401" s="21" t="n"/>
      <c r="K401" s="21" t="n"/>
    </row>
    <row r="402">
      <c r="A402" s="19">
        <f>IF($C402="","CHƯA NHẬP",IF($B402="","HỢP LỆ","LỖI"))</f>
        <v/>
      </c>
      <c r="B402" s="19">
        <f>IF($C402="","",TEXTJOIN(" | ",TRUE,IF($C402="","Thiếu mã nhân viên",""),IF(COUNTIF($C$6:$C$505,$C402)&gt;1,"Trùng mã nhân viên",""),IF($D402="","Thiếu họ tên",""),IF(AND($E402&lt;&gt;"",OR(NOT(ISNUMBER($E402)),$E402&lt;DATE(1940,1,1),$E402&gt;TODAY())),"Ngày sinh không hợp lệ",""),IF(AND($G402&lt;&gt;"",OR(ISERROR(SEARCH("@",$G402)),ISERROR(SEARCH(".",$G402)))),"Email cá nhân không hợp lệ",""),IF(AND($H402&lt;&gt;"",OR(ISERROR(SEARCH("@",$H402)),ISERROR(SEARCH(".",$H402)))),"Email công ty không hợp lệ",""),IF(AND($I402&lt;&gt;"",OR(LEN($I402)&lt;9,LEN($I402)&gt;15,NOT(ISNUMBER(--$I402)))),"Số điện thoại không hợp lệ","")))</f>
        <v/>
      </c>
      <c r="C402" s="20" t="n"/>
      <c r="D402" s="21" t="n"/>
      <c r="E402" s="22" t="n"/>
      <c r="F402" s="21" t="n"/>
      <c r="G402" s="21" t="n"/>
      <c r="H402" s="21" t="n"/>
      <c r="I402" s="20" t="n"/>
      <c r="J402" s="21" t="n"/>
      <c r="K402" s="21" t="n"/>
    </row>
    <row r="403">
      <c r="A403" s="19">
        <f>IF($C403="","CHƯA NHẬP",IF($B403="","HỢP LỆ","LỖI"))</f>
        <v/>
      </c>
      <c r="B403" s="19">
        <f>IF($C403="","",TEXTJOIN(" | ",TRUE,IF($C403="","Thiếu mã nhân viên",""),IF(COUNTIF($C$6:$C$505,$C403)&gt;1,"Trùng mã nhân viên",""),IF($D403="","Thiếu họ tên",""),IF(AND($E403&lt;&gt;"",OR(NOT(ISNUMBER($E403)),$E403&lt;DATE(1940,1,1),$E403&gt;TODAY())),"Ngày sinh không hợp lệ",""),IF(AND($G403&lt;&gt;"",OR(ISERROR(SEARCH("@",$G403)),ISERROR(SEARCH(".",$G403)))),"Email cá nhân không hợp lệ",""),IF(AND($H403&lt;&gt;"",OR(ISERROR(SEARCH("@",$H403)),ISERROR(SEARCH(".",$H403)))),"Email công ty không hợp lệ",""),IF(AND($I403&lt;&gt;"",OR(LEN($I403)&lt;9,LEN($I403)&gt;15,NOT(ISNUMBER(--$I403)))),"Số điện thoại không hợp lệ","")))</f>
        <v/>
      </c>
      <c r="C403" s="20" t="n"/>
      <c r="D403" s="21" t="n"/>
      <c r="E403" s="22" t="n"/>
      <c r="F403" s="21" t="n"/>
      <c r="G403" s="21" t="n"/>
      <c r="H403" s="21" t="n"/>
      <c r="I403" s="20" t="n"/>
      <c r="J403" s="21" t="n"/>
      <c r="K403" s="21" t="n"/>
    </row>
    <row r="404">
      <c r="A404" s="19">
        <f>IF($C404="","CHƯA NHẬP",IF($B404="","HỢP LỆ","LỖI"))</f>
        <v/>
      </c>
      <c r="B404" s="19">
        <f>IF($C404="","",TEXTJOIN(" | ",TRUE,IF($C404="","Thiếu mã nhân viên",""),IF(COUNTIF($C$6:$C$505,$C404)&gt;1,"Trùng mã nhân viên",""),IF($D404="","Thiếu họ tên",""),IF(AND($E404&lt;&gt;"",OR(NOT(ISNUMBER($E404)),$E404&lt;DATE(1940,1,1),$E404&gt;TODAY())),"Ngày sinh không hợp lệ",""),IF(AND($G404&lt;&gt;"",OR(ISERROR(SEARCH("@",$G404)),ISERROR(SEARCH(".",$G404)))),"Email cá nhân không hợp lệ",""),IF(AND($H404&lt;&gt;"",OR(ISERROR(SEARCH("@",$H404)),ISERROR(SEARCH(".",$H404)))),"Email công ty không hợp lệ",""),IF(AND($I404&lt;&gt;"",OR(LEN($I404)&lt;9,LEN($I404)&gt;15,NOT(ISNUMBER(--$I404)))),"Số điện thoại không hợp lệ","")))</f>
        <v/>
      </c>
      <c r="C404" s="20" t="n"/>
      <c r="D404" s="21" t="n"/>
      <c r="E404" s="22" t="n"/>
      <c r="F404" s="21" t="n"/>
      <c r="G404" s="21" t="n"/>
      <c r="H404" s="21" t="n"/>
      <c r="I404" s="20" t="n"/>
      <c r="J404" s="21" t="n"/>
      <c r="K404" s="21" t="n"/>
    </row>
    <row r="405">
      <c r="A405" s="19">
        <f>IF($C405="","CHƯA NHẬP",IF($B405="","HỢP LỆ","LỖI"))</f>
        <v/>
      </c>
      <c r="B405" s="19">
        <f>IF($C405="","",TEXTJOIN(" | ",TRUE,IF($C405="","Thiếu mã nhân viên",""),IF(COUNTIF($C$6:$C$505,$C405)&gt;1,"Trùng mã nhân viên",""),IF($D405="","Thiếu họ tên",""),IF(AND($E405&lt;&gt;"",OR(NOT(ISNUMBER($E405)),$E405&lt;DATE(1940,1,1),$E405&gt;TODAY())),"Ngày sinh không hợp lệ",""),IF(AND($G405&lt;&gt;"",OR(ISERROR(SEARCH("@",$G405)),ISERROR(SEARCH(".",$G405)))),"Email cá nhân không hợp lệ",""),IF(AND($H405&lt;&gt;"",OR(ISERROR(SEARCH("@",$H405)),ISERROR(SEARCH(".",$H405)))),"Email công ty không hợp lệ",""),IF(AND($I405&lt;&gt;"",OR(LEN($I405)&lt;9,LEN($I405)&gt;15,NOT(ISNUMBER(--$I405)))),"Số điện thoại không hợp lệ","")))</f>
        <v/>
      </c>
      <c r="C405" s="20" t="n"/>
      <c r="D405" s="21" t="n"/>
      <c r="E405" s="22" t="n"/>
      <c r="F405" s="21" t="n"/>
      <c r="G405" s="21" t="n"/>
      <c r="H405" s="21" t="n"/>
      <c r="I405" s="20" t="n"/>
      <c r="J405" s="21" t="n"/>
      <c r="K405" s="21" t="n"/>
    </row>
    <row r="406">
      <c r="A406" s="19">
        <f>IF($C406="","CHƯA NHẬP",IF($B406="","HỢP LỆ","LỖI"))</f>
        <v/>
      </c>
      <c r="B406" s="19">
        <f>IF($C406="","",TEXTJOIN(" | ",TRUE,IF($C406="","Thiếu mã nhân viên",""),IF(COUNTIF($C$6:$C$505,$C406)&gt;1,"Trùng mã nhân viên",""),IF($D406="","Thiếu họ tên",""),IF(AND($E406&lt;&gt;"",OR(NOT(ISNUMBER($E406)),$E406&lt;DATE(1940,1,1),$E406&gt;TODAY())),"Ngày sinh không hợp lệ",""),IF(AND($G406&lt;&gt;"",OR(ISERROR(SEARCH("@",$G406)),ISERROR(SEARCH(".",$G406)))),"Email cá nhân không hợp lệ",""),IF(AND($H406&lt;&gt;"",OR(ISERROR(SEARCH("@",$H406)),ISERROR(SEARCH(".",$H406)))),"Email công ty không hợp lệ",""),IF(AND($I406&lt;&gt;"",OR(LEN($I406)&lt;9,LEN($I406)&gt;15,NOT(ISNUMBER(--$I406)))),"Số điện thoại không hợp lệ","")))</f>
        <v/>
      </c>
      <c r="C406" s="20" t="n"/>
      <c r="D406" s="21" t="n"/>
      <c r="E406" s="22" t="n"/>
      <c r="F406" s="21" t="n"/>
      <c r="G406" s="21" t="n"/>
      <c r="H406" s="21" t="n"/>
      <c r="I406" s="20" t="n"/>
      <c r="J406" s="21" t="n"/>
      <c r="K406" s="21" t="n"/>
    </row>
    <row r="407">
      <c r="A407" s="19">
        <f>IF($C407="","CHƯA NHẬP",IF($B407="","HỢP LỆ","LỖI"))</f>
        <v/>
      </c>
      <c r="B407" s="19">
        <f>IF($C407="","",TEXTJOIN(" | ",TRUE,IF($C407="","Thiếu mã nhân viên",""),IF(COUNTIF($C$6:$C$505,$C407)&gt;1,"Trùng mã nhân viên",""),IF($D407="","Thiếu họ tên",""),IF(AND($E407&lt;&gt;"",OR(NOT(ISNUMBER($E407)),$E407&lt;DATE(1940,1,1),$E407&gt;TODAY())),"Ngày sinh không hợp lệ",""),IF(AND($G407&lt;&gt;"",OR(ISERROR(SEARCH("@",$G407)),ISERROR(SEARCH(".",$G407)))),"Email cá nhân không hợp lệ",""),IF(AND($H407&lt;&gt;"",OR(ISERROR(SEARCH("@",$H407)),ISERROR(SEARCH(".",$H407)))),"Email công ty không hợp lệ",""),IF(AND($I407&lt;&gt;"",OR(LEN($I407)&lt;9,LEN($I407)&gt;15,NOT(ISNUMBER(--$I407)))),"Số điện thoại không hợp lệ","")))</f>
        <v/>
      </c>
      <c r="C407" s="20" t="n"/>
      <c r="D407" s="21" t="n"/>
      <c r="E407" s="22" t="n"/>
      <c r="F407" s="21" t="n"/>
      <c r="G407" s="21" t="n"/>
      <c r="H407" s="21" t="n"/>
      <c r="I407" s="20" t="n"/>
      <c r="J407" s="21" t="n"/>
      <c r="K407" s="21" t="n"/>
    </row>
    <row r="408">
      <c r="A408" s="19">
        <f>IF($C408="","CHƯA NHẬP",IF($B408="","HỢP LỆ","LỖI"))</f>
        <v/>
      </c>
      <c r="B408" s="19">
        <f>IF($C408="","",TEXTJOIN(" | ",TRUE,IF($C408="","Thiếu mã nhân viên",""),IF(COUNTIF($C$6:$C$505,$C408)&gt;1,"Trùng mã nhân viên",""),IF($D408="","Thiếu họ tên",""),IF(AND($E408&lt;&gt;"",OR(NOT(ISNUMBER($E408)),$E408&lt;DATE(1940,1,1),$E408&gt;TODAY())),"Ngày sinh không hợp lệ",""),IF(AND($G408&lt;&gt;"",OR(ISERROR(SEARCH("@",$G408)),ISERROR(SEARCH(".",$G408)))),"Email cá nhân không hợp lệ",""),IF(AND($H408&lt;&gt;"",OR(ISERROR(SEARCH("@",$H408)),ISERROR(SEARCH(".",$H408)))),"Email công ty không hợp lệ",""),IF(AND($I408&lt;&gt;"",OR(LEN($I408)&lt;9,LEN($I408)&gt;15,NOT(ISNUMBER(--$I408)))),"Số điện thoại không hợp lệ","")))</f>
        <v/>
      </c>
      <c r="C408" s="20" t="n"/>
      <c r="D408" s="21" t="n"/>
      <c r="E408" s="22" t="n"/>
      <c r="F408" s="21" t="n"/>
      <c r="G408" s="21" t="n"/>
      <c r="H408" s="21" t="n"/>
      <c r="I408" s="20" t="n"/>
      <c r="J408" s="21" t="n"/>
      <c r="K408" s="21" t="n"/>
    </row>
    <row r="409">
      <c r="A409" s="19">
        <f>IF($C409="","CHƯA NHẬP",IF($B409="","HỢP LỆ","LỖI"))</f>
        <v/>
      </c>
      <c r="B409" s="19">
        <f>IF($C409="","",TEXTJOIN(" | ",TRUE,IF($C409="","Thiếu mã nhân viên",""),IF(COUNTIF($C$6:$C$505,$C409)&gt;1,"Trùng mã nhân viên",""),IF($D409="","Thiếu họ tên",""),IF(AND($E409&lt;&gt;"",OR(NOT(ISNUMBER($E409)),$E409&lt;DATE(1940,1,1),$E409&gt;TODAY())),"Ngày sinh không hợp lệ",""),IF(AND($G409&lt;&gt;"",OR(ISERROR(SEARCH("@",$G409)),ISERROR(SEARCH(".",$G409)))),"Email cá nhân không hợp lệ",""),IF(AND($H409&lt;&gt;"",OR(ISERROR(SEARCH("@",$H409)),ISERROR(SEARCH(".",$H409)))),"Email công ty không hợp lệ",""),IF(AND($I409&lt;&gt;"",OR(LEN($I409)&lt;9,LEN($I409)&gt;15,NOT(ISNUMBER(--$I409)))),"Số điện thoại không hợp lệ","")))</f>
        <v/>
      </c>
      <c r="C409" s="20" t="n"/>
      <c r="D409" s="21" t="n"/>
      <c r="E409" s="22" t="n"/>
      <c r="F409" s="21" t="n"/>
      <c r="G409" s="21" t="n"/>
      <c r="H409" s="21" t="n"/>
      <c r="I409" s="20" t="n"/>
      <c r="J409" s="21" t="n"/>
      <c r="K409" s="21" t="n"/>
    </row>
    <row r="410">
      <c r="A410" s="19">
        <f>IF($C410="","CHƯA NHẬP",IF($B410="","HỢP LỆ","LỖI"))</f>
        <v/>
      </c>
      <c r="B410" s="19">
        <f>IF($C410="","",TEXTJOIN(" | ",TRUE,IF($C410="","Thiếu mã nhân viên",""),IF(COUNTIF($C$6:$C$505,$C410)&gt;1,"Trùng mã nhân viên",""),IF($D410="","Thiếu họ tên",""),IF(AND($E410&lt;&gt;"",OR(NOT(ISNUMBER($E410)),$E410&lt;DATE(1940,1,1),$E410&gt;TODAY())),"Ngày sinh không hợp lệ",""),IF(AND($G410&lt;&gt;"",OR(ISERROR(SEARCH("@",$G410)),ISERROR(SEARCH(".",$G410)))),"Email cá nhân không hợp lệ",""),IF(AND($H410&lt;&gt;"",OR(ISERROR(SEARCH("@",$H410)),ISERROR(SEARCH(".",$H410)))),"Email công ty không hợp lệ",""),IF(AND($I410&lt;&gt;"",OR(LEN($I410)&lt;9,LEN($I410)&gt;15,NOT(ISNUMBER(--$I410)))),"Số điện thoại không hợp lệ","")))</f>
        <v/>
      </c>
      <c r="C410" s="20" t="n"/>
      <c r="D410" s="21" t="n"/>
      <c r="E410" s="22" t="n"/>
      <c r="F410" s="21" t="n"/>
      <c r="G410" s="21" t="n"/>
      <c r="H410" s="21" t="n"/>
      <c r="I410" s="20" t="n"/>
      <c r="J410" s="21" t="n"/>
      <c r="K410" s="21" t="n"/>
    </row>
    <row r="411">
      <c r="A411" s="19">
        <f>IF($C411="","CHƯA NHẬP",IF($B411="","HỢP LỆ","LỖI"))</f>
        <v/>
      </c>
      <c r="B411" s="19">
        <f>IF($C411="","",TEXTJOIN(" | ",TRUE,IF($C411="","Thiếu mã nhân viên",""),IF(COUNTIF($C$6:$C$505,$C411)&gt;1,"Trùng mã nhân viên",""),IF($D411="","Thiếu họ tên",""),IF(AND($E411&lt;&gt;"",OR(NOT(ISNUMBER($E411)),$E411&lt;DATE(1940,1,1),$E411&gt;TODAY())),"Ngày sinh không hợp lệ",""),IF(AND($G411&lt;&gt;"",OR(ISERROR(SEARCH("@",$G411)),ISERROR(SEARCH(".",$G411)))),"Email cá nhân không hợp lệ",""),IF(AND($H411&lt;&gt;"",OR(ISERROR(SEARCH("@",$H411)),ISERROR(SEARCH(".",$H411)))),"Email công ty không hợp lệ",""),IF(AND($I411&lt;&gt;"",OR(LEN($I411)&lt;9,LEN($I411)&gt;15,NOT(ISNUMBER(--$I411)))),"Số điện thoại không hợp lệ","")))</f>
        <v/>
      </c>
      <c r="C411" s="20" t="n"/>
      <c r="D411" s="21" t="n"/>
      <c r="E411" s="22" t="n"/>
      <c r="F411" s="21" t="n"/>
      <c r="G411" s="21" t="n"/>
      <c r="H411" s="21" t="n"/>
      <c r="I411" s="20" t="n"/>
      <c r="J411" s="21" t="n"/>
      <c r="K411" s="21" t="n"/>
    </row>
    <row r="412">
      <c r="A412" s="19">
        <f>IF($C412="","CHƯA NHẬP",IF($B412="","HỢP LỆ","LỖI"))</f>
        <v/>
      </c>
      <c r="B412" s="19">
        <f>IF($C412="","",TEXTJOIN(" | ",TRUE,IF($C412="","Thiếu mã nhân viên",""),IF(COUNTIF($C$6:$C$505,$C412)&gt;1,"Trùng mã nhân viên",""),IF($D412="","Thiếu họ tên",""),IF(AND($E412&lt;&gt;"",OR(NOT(ISNUMBER($E412)),$E412&lt;DATE(1940,1,1),$E412&gt;TODAY())),"Ngày sinh không hợp lệ",""),IF(AND($G412&lt;&gt;"",OR(ISERROR(SEARCH("@",$G412)),ISERROR(SEARCH(".",$G412)))),"Email cá nhân không hợp lệ",""),IF(AND($H412&lt;&gt;"",OR(ISERROR(SEARCH("@",$H412)),ISERROR(SEARCH(".",$H412)))),"Email công ty không hợp lệ",""),IF(AND($I412&lt;&gt;"",OR(LEN($I412)&lt;9,LEN($I412)&gt;15,NOT(ISNUMBER(--$I412)))),"Số điện thoại không hợp lệ","")))</f>
        <v/>
      </c>
      <c r="C412" s="20" t="n"/>
      <c r="D412" s="21" t="n"/>
      <c r="E412" s="22" t="n"/>
      <c r="F412" s="21" t="n"/>
      <c r="G412" s="21" t="n"/>
      <c r="H412" s="21" t="n"/>
      <c r="I412" s="20" t="n"/>
      <c r="J412" s="21" t="n"/>
      <c r="K412" s="21" t="n"/>
    </row>
    <row r="413">
      <c r="A413" s="19">
        <f>IF($C413="","CHƯA NHẬP",IF($B413="","HỢP LỆ","LỖI"))</f>
        <v/>
      </c>
      <c r="B413" s="19">
        <f>IF($C413="","",TEXTJOIN(" | ",TRUE,IF($C413="","Thiếu mã nhân viên",""),IF(COUNTIF($C$6:$C$505,$C413)&gt;1,"Trùng mã nhân viên",""),IF($D413="","Thiếu họ tên",""),IF(AND($E413&lt;&gt;"",OR(NOT(ISNUMBER($E413)),$E413&lt;DATE(1940,1,1),$E413&gt;TODAY())),"Ngày sinh không hợp lệ",""),IF(AND($G413&lt;&gt;"",OR(ISERROR(SEARCH("@",$G413)),ISERROR(SEARCH(".",$G413)))),"Email cá nhân không hợp lệ",""),IF(AND($H413&lt;&gt;"",OR(ISERROR(SEARCH("@",$H413)),ISERROR(SEARCH(".",$H413)))),"Email công ty không hợp lệ",""),IF(AND($I413&lt;&gt;"",OR(LEN($I413)&lt;9,LEN($I413)&gt;15,NOT(ISNUMBER(--$I413)))),"Số điện thoại không hợp lệ","")))</f>
        <v/>
      </c>
      <c r="C413" s="20" t="n"/>
      <c r="D413" s="21" t="n"/>
      <c r="E413" s="22" t="n"/>
      <c r="F413" s="21" t="n"/>
      <c r="G413" s="21" t="n"/>
      <c r="H413" s="21" t="n"/>
      <c r="I413" s="20" t="n"/>
      <c r="J413" s="21" t="n"/>
      <c r="K413" s="21" t="n"/>
    </row>
    <row r="414">
      <c r="A414" s="19">
        <f>IF($C414="","CHƯA NHẬP",IF($B414="","HỢP LỆ","LỖI"))</f>
        <v/>
      </c>
      <c r="B414" s="19">
        <f>IF($C414="","",TEXTJOIN(" | ",TRUE,IF($C414="","Thiếu mã nhân viên",""),IF(COUNTIF($C$6:$C$505,$C414)&gt;1,"Trùng mã nhân viên",""),IF($D414="","Thiếu họ tên",""),IF(AND($E414&lt;&gt;"",OR(NOT(ISNUMBER($E414)),$E414&lt;DATE(1940,1,1),$E414&gt;TODAY())),"Ngày sinh không hợp lệ",""),IF(AND($G414&lt;&gt;"",OR(ISERROR(SEARCH("@",$G414)),ISERROR(SEARCH(".",$G414)))),"Email cá nhân không hợp lệ",""),IF(AND($H414&lt;&gt;"",OR(ISERROR(SEARCH("@",$H414)),ISERROR(SEARCH(".",$H414)))),"Email công ty không hợp lệ",""),IF(AND($I414&lt;&gt;"",OR(LEN($I414)&lt;9,LEN($I414)&gt;15,NOT(ISNUMBER(--$I414)))),"Số điện thoại không hợp lệ","")))</f>
        <v/>
      </c>
      <c r="C414" s="20" t="n"/>
      <c r="D414" s="21" t="n"/>
      <c r="E414" s="22" t="n"/>
      <c r="F414" s="21" t="n"/>
      <c r="G414" s="21" t="n"/>
      <c r="H414" s="21" t="n"/>
      <c r="I414" s="20" t="n"/>
      <c r="J414" s="21" t="n"/>
      <c r="K414" s="21" t="n"/>
    </row>
    <row r="415">
      <c r="A415" s="19">
        <f>IF($C415="","CHƯA NHẬP",IF($B415="","HỢP LỆ","LỖI"))</f>
        <v/>
      </c>
      <c r="B415" s="19">
        <f>IF($C415="","",TEXTJOIN(" | ",TRUE,IF($C415="","Thiếu mã nhân viên",""),IF(COUNTIF($C$6:$C$505,$C415)&gt;1,"Trùng mã nhân viên",""),IF($D415="","Thiếu họ tên",""),IF(AND($E415&lt;&gt;"",OR(NOT(ISNUMBER($E415)),$E415&lt;DATE(1940,1,1),$E415&gt;TODAY())),"Ngày sinh không hợp lệ",""),IF(AND($G415&lt;&gt;"",OR(ISERROR(SEARCH("@",$G415)),ISERROR(SEARCH(".",$G415)))),"Email cá nhân không hợp lệ",""),IF(AND($H415&lt;&gt;"",OR(ISERROR(SEARCH("@",$H415)),ISERROR(SEARCH(".",$H415)))),"Email công ty không hợp lệ",""),IF(AND($I415&lt;&gt;"",OR(LEN($I415)&lt;9,LEN($I415)&gt;15,NOT(ISNUMBER(--$I415)))),"Số điện thoại không hợp lệ","")))</f>
        <v/>
      </c>
      <c r="C415" s="20" t="n"/>
      <c r="D415" s="21" t="n"/>
      <c r="E415" s="22" t="n"/>
      <c r="F415" s="21" t="n"/>
      <c r="G415" s="21" t="n"/>
      <c r="H415" s="21" t="n"/>
      <c r="I415" s="20" t="n"/>
      <c r="J415" s="21" t="n"/>
      <c r="K415" s="21" t="n"/>
    </row>
    <row r="416">
      <c r="A416" s="19">
        <f>IF($C416="","CHƯA NHẬP",IF($B416="","HỢP LỆ","LỖI"))</f>
        <v/>
      </c>
      <c r="B416" s="19">
        <f>IF($C416="","",TEXTJOIN(" | ",TRUE,IF($C416="","Thiếu mã nhân viên",""),IF(COUNTIF($C$6:$C$505,$C416)&gt;1,"Trùng mã nhân viên",""),IF($D416="","Thiếu họ tên",""),IF(AND($E416&lt;&gt;"",OR(NOT(ISNUMBER($E416)),$E416&lt;DATE(1940,1,1),$E416&gt;TODAY())),"Ngày sinh không hợp lệ",""),IF(AND($G416&lt;&gt;"",OR(ISERROR(SEARCH("@",$G416)),ISERROR(SEARCH(".",$G416)))),"Email cá nhân không hợp lệ",""),IF(AND($H416&lt;&gt;"",OR(ISERROR(SEARCH("@",$H416)),ISERROR(SEARCH(".",$H416)))),"Email công ty không hợp lệ",""),IF(AND($I416&lt;&gt;"",OR(LEN($I416)&lt;9,LEN($I416)&gt;15,NOT(ISNUMBER(--$I416)))),"Số điện thoại không hợp lệ","")))</f>
        <v/>
      </c>
      <c r="C416" s="20" t="n"/>
      <c r="D416" s="21" t="n"/>
      <c r="E416" s="22" t="n"/>
      <c r="F416" s="21" t="n"/>
      <c r="G416" s="21" t="n"/>
      <c r="H416" s="21" t="n"/>
      <c r="I416" s="20" t="n"/>
      <c r="J416" s="21" t="n"/>
      <c r="K416" s="21" t="n"/>
    </row>
    <row r="417">
      <c r="A417" s="19">
        <f>IF($C417="","CHƯA NHẬP",IF($B417="","HỢP LỆ","LỖI"))</f>
        <v/>
      </c>
      <c r="B417" s="19">
        <f>IF($C417="","",TEXTJOIN(" | ",TRUE,IF($C417="","Thiếu mã nhân viên",""),IF(COUNTIF($C$6:$C$505,$C417)&gt;1,"Trùng mã nhân viên",""),IF($D417="","Thiếu họ tên",""),IF(AND($E417&lt;&gt;"",OR(NOT(ISNUMBER($E417)),$E417&lt;DATE(1940,1,1),$E417&gt;TODAY())),"Ngày sinh không hợp lệ",""),IF(AND($G417&lt;&gt;"",OR(ISERROR(SEARCH("@",$G417)),ISERROR(SEARCH(".",$G417)))),"Email cá nhân không hợp lệ",""),IF(AND($H417&lt;&gt;"",OR(ISERROR(SEARCH("@",$H417)),ISERROR(SEARCH(".",$H417)))),"Email công ty không hợp lệ",""),IF(AND($I417&lt;&gt;"",OR(LEN($I417)&lt;9,LEN($I417)&gt;15,NOT(ISNUMBER(--$I417)))),"Số điện thoại không hợp lệ","")))</f>
        <v/>
      </c>
      <c r="C417" s="20" t="n"/>
      <c r="D417" s="21" t="n"/>
      <c r="E417" s="22" t="n"/>
      <c r="F417" s="21" t="n"/>
      <c r="G417" s="21" t="n"/>
      <c r="H417" s="21" t="n"/>
      <c r="I417" s="20" t="n"/>
      <c r="J417" s="21" t="n"/>
      <c r="K417" s="21" t="n"/>
    </row>
    <row r="418">
      <c r="A418" s="19">
        <f>IF($C418="","CHƯA NHẬP",IF($B418="","HỢP LỆ","LỖI"))</f>
        <v/>
      </c>
      <c r="B418" s="19">
        <f>IF($C418="","",TEXTJOIN(" | ",TRUE,IF($C418="","Thiếu mã nhân viên",""),IF(COUNTIF($C$6:$C$505,$C418)&gt;1,"Trùng mã nhân viên",""),IF($D418="","Thiếu họ tên",""),IF(AND($E418&lt;&gt;"",OR(NOT(ISNUMBER($E418)),$E418&lt;DATE(1940,1,1),$E418&gt;TODAY())),"Ngày sinh không hợp lệ",""),IF(AND($G418&lt;&gt;"",OR(ISERROR(SEARCH("@",$G418)),ISERROR(SEARCH(".",$G418)))),"Email cá nhân không hợp lệ",""),IF(AND($H418&lt;&gt;"",OR(ISERROR(SEARCH("@",$H418)),ISERROR(SEARCH(".",$H418)))),"Email công ty không hợp lệ",""),IF(AND($I418&lt;&gt;"",OR(LEN($I418)&lt;9,LEN($I418)&gt;15,NOT(ISNUMBER(--$I418)))),"Số điện thoại không hợp lệ","")))</f>
        <v/>
      </c>
      <c r="C418" s="20" t="n"/>
      <c r="D418" s="21" t="n"/>
      <c r="E418" s="22" t="n"/>
      <c r="F418" s="21" t="n"/>
      <c r="G418" s="21" t="n"/>
      <c r="H418" s="21" t="n"/>
      <c r="I418" s="20" t="n"/>
      <c r="J418" s="21" t="n"/>
      <c r="K418" s="21" t="n"/>
    </row>
    <row r="419">
      <c r="A419" s="19">
        <f>IF($C419="","CHƯA NHẬP",IF($B419="","HỢP LỆ","LỖI"))</f>
        <v/>
      </c>
      <c r="B419" s="19">
        <f>IF($C419="","",TEXTJOIN(" | ",TRUE,IF($C419="","Thiếu mã nhân viên",""),IF(COUNTIF($C$6:$C$505,$C419)&gt;1,"Trùng mã nhân viên",""),IF($D419="","Thiếu họ tên",""),IF(AND($E419&lt;&gt;"",OR(NOT(ISNUMBER($E419)),$E419&lt;DATE(1940,1,1),$E419&gt;TODAY())),"Ngày sinh không hợp lệ",""),IF(AND($G419&lt;&gt;"",OR(ISERROR(SEARCH("@",$G419)),ISERROR(SEARCH(".",$G419)))),"Email cá nhân không hợp lệ",""),IF(AND($H419&lt;&gt;"",OR(ISERROR(SEARCH("@",$H419)),ISERROR(SEARCH(".",$H419)))),"Email công ty không hợp lệ",""),IF(AND($I419&lt;&gt;"",OR(LEN($I419)&lt;9,LEN($I419)&gt;15,NOT(ISNUMBER(--$I419)))),"Số điện thoại không hợp lệ","")))</f>
        <v/>
      </c>
      <c r="C419" s="20" t="n"/>
      <c r="D419" s="21" t="n"/>
      <c r="E419" s="22" t="n"/>
      <c r="F419" s="21" t="n"/>
      <c r="G419" s="21" t="n"/>
      <c r="H419" s="21" t="n"/>
      <c r="I419" s="20" t="n"/>
      <c r="J419" s="21" t="n"/>
      <c r="K419" s="21" t="n"/>
    </row>
    <row r="420">
      <c r="A420" s="19">
        <f>IF($C420="","CHƯA NHẬP",IF($B420="","HỢP LỆ","LỖI"))</f>
        <v/>
      </c>
      <c r="B420" s="19">
        <f>IF($C420="","",TEXTJOIN(" | ",TRUE,IF($C420="","Thiếu mã nhân viên",""),IF(COUNTIF($C$6:$C$505,$C420)&gt;1,"Trùng mã nhân viên",""),IF($D420="","Thiếu họ tên",""),IF(AND($E420&lt;&gt;"",OR(NOT(ISNUMBER($E420)),$E420&lt;DATE(1940,1,1),$E420&gt;TODAY())),"Ngày sinh không hợp lệ",""),IF(AND($G420&lt;&gt;"",OR(ISERROR(SEARCH("@",$G420)),ISERROR(SEARCH(".",$G420)))),"Email cá nhân không hợp lệ",""),IF(AND($H420&lt;&gt;"",OR(ISERROR(SEARCH("@",$H420)),ISERROR(SEARCH(".",$H420)))),"Email công ty không hợp lệ",""),IF(AND($I420&lt;&gt;"",OR(LEN($I420)&lt;9,LEN($I420)&gt;15,NOT(ISNUMBER(--$I420)))),"Số điện thoại không hợp lệ","")))</f>
        <v/>
      </c>
      <c r="C420" s="20" t="n"/>
      <c r="D420" s="21" t="n"/>
      <c r="E420" s="22" t="n"/>
      <c r="F420" s="21" t="n"/>
      <c r="G420" s="21" t="n"/>
      <c r="H420" s="21" t="n"/>
      <c r="I420" s="20" t="n"/>
      <c r="J420" s="21" t="n"/>
      <c r="K420" s="21" t="n"/>
    </row>
    <row r="421">
      <c r="A421" s="19">
        <f>IF($C421="","CHƯA NHẬP",IF($B421="","HỢP LỆ","LỖI"))</f>
        <v/>
      </c>
      <c r="B421" s="19">
        <f>IF($C421="","",TEXTJOIN(" | ",TRUE,IF($C421="","Thiếu mã nhân viên",""),IF(COUNTIF($C$6:$C$505,$C421)&gt;1,"Trùng mã nhân viên",""),IF($D421="","Thiếu họ tên",""),IF(AND($E421&lt;&gt;"",OR(NOT(ISNUMBER($E421)),$E421&lt;DATE(1940,1,1),$E421&gt;TODAY())),"Ngày sinh không hợp lệ",""),IF(AND($G421&lt;&gt;"",OR(ISERROR(SEARCH("@",$G421)),ISERROR(SEARCH(".",$G421)))),"Email cá nhân không hợp lệ",""),IF(AND($H421&lt;&gt;"",OR(ISERROR(SEARCH("@",$H421)),ISERROR(SEARCH(".",$H421)))),"Email công ty không hợp lệ",""),IF(AND($I421&lt;&gt;"",OR(LEN($I421)&lt;9,LEN($I421)&gt;15,NOT(ISNUMBER(--$I421)))),"Số điện thoại không hợp lệ","")))</f>
        <v/>
      </c>
      <c r="C421" s="20" t="n"/>
      <c r="D421" s="21" t="n"/>
      <c r="E421" s="22" t="n"/>
      <c r="F421" s="21" t="n"/>
      <c r="G421" s="21" t="n"/>
      <c r="H421" s="21" t="n"/>
      <c r="I421" s="20" t="n"/>
      <c r="J421" s="21" t="n"/>
      <c r="K421" s="21" t="n"/>
    </row>
    <row r="422">
      <c r="A422" s="19">
        <f>IF($C422="","CHƯA NHẬP",IF($B422="","HỢP LỆ","LỖI"))</f>
        <v/>
      </c>
      <c r="B422" s="19">
        <f>IF($C422="","",TEXTJOIN(" | ",TRUE,IF($C422="","Thiếu mã nhân viên",""),IF(COUNTIF($C$6:$C$505,$C422)&gt;1,"Trùng mã nhân viên",""),IF($D422="","Thiếu họ tên",""),IF(AND($E422&lt;&gt;"",OR(NOT(ISNUMBER($E422)),$E422&lt;DATE(1940,1,1),$E422&gt;TODAY())),"Ngày sinh không hợp lệ",""),IF(AND($G422&lt;&gt;"",OR(ISERROR(SEARCH("@",$G422)),ISERROR(SEARCH(".",$G422)))),"Email cá nhân không hợp lệ",""),IF(AND($H422&lt;&gt;"",OR(ISERROR(SEARCH("@",$H422)),ISERROR(SEARCH(".",$H422)))),"Email công ty không hợp lệ",""),IF(AND($I422&lt;&gt;"",OR(LEN($I422)&lt;9,LEN($I422)&gt;15,NOT(ISNUMBER(--$I422)))),"Số điện thoại không hợp lệ","")))</f>
        <v/>
      </c>
      <c r="C422" s="20" t="n"/>
      <c r="D422" s="21" t="n"/>
      <c r="E422" s="22" t="n"/>
      <c r="F422" s="21" t="n"/>
      <c r="G422" s="21" t="n"/>
      <c r="H422" s="21" t="n"/>
      <c r="I422" s="20" t="n"/>
      <c r="J422" s="21" t="n"/>
      <c r="K422" s="21" t="n"/>
    </row>
    <row r="423">
      <c r="A423" s="19">
        <f>IF($C423="","CHƯA NHẬP",IF($B423="","HỢP LỆ","LỖI"))</f>
        <v/>
      </c>
      <c r="B423" s="19">
        <f>IF($C423="","",TEXTJOIN(" | ",TRUE,IF($C423="","Thiếu mã nhân viên",""),IF(COUNTIF($C$6:$C$505,$C423)&gt;1,"Trùng mã nhân viên",""),IF($D423="","Thiếu họ tên",""),IF(AND($E423&lt;&gt;"",OR(NOT(ISNUMBER($E423)),$E423&lt;DATE(1940,1,1),$E423&gt;TODAY())),"Ngày sinh không hợp lệ",""),IF(AND($G423&lt;&gt;"",OR(ISERROR(SEARCH("@",$G423)),ISERROR(SEARCH(".",$G423)))),"Email cá nhân không hợp lệ",""),IF(AND($H423&lt;&gt;"",OR(ISERROR(SEARCH("@",$H423)),ISERROR(SEARCH(".",$H423)))),"Email công ty không hợp lệ",""),IF(AND($I423&lt;&gt;"",OR(LEN($I423)&lt;9,LEN($I423)&gt;15,NOT(ISNUMBER(--$I423)))),"Số điện thoại không hợp lệ","")))</f>
        <v/>
      </c>
      <c r="C423" s="20" t="n"/>
      <c r="D423" s="21" t="n"/>
      <c r="E423" s="22" t="n"/>
      <c r="F423" s="21" t="n"/>
      <c r="G423" s="21" t="n"/>
      <c r="H423" s="21" t="n"/>
      <c r="I423" s="20" t="n"/>
      <c r="J423" s="21" t="n"/>
      <c r="K423" s="21" t="n"/>
    </row>
    <row r="424">
      <c r="A424" s="19">
        <f>IF($C424="","CHƯA NHẬP",IF($B424="","HỢP LỆ","LỖI"))</f>
        <v/>
      </c>
      <c r="B424" s="19">
        <f>IF($C424="","",TEXTJOIN(" | ",TRUE,IF($C424="","Thiếu mã nhân viên",""),IF(COUNTIF($C$6:$C$505,$C424)&gt;1,"Trùng mã nhân viên",""),IF($D424="","Thiếu họ tên",""),IF(AND($E424&lt;&gt;"",OR(NOT(ISNUMBER($E424)),$E424&lt;DATE(1940,1,1),$E424&gt;TODAY())),"Ngày sinh không hợp lệ",""),IF(AND($G424&lt;&gt;"",OR(ISERROR(SEARCH("@",$G424)),ISERROR(SEARCH(".",$G424)))),"Email cá nhân không hợp lệ",""),IF(AND($H424&lt;&gt;"",OR(ISERROR(SEARCH("@",$H424)),ISERROR(SEARCH(".",$H424)))),"Email công ty không hợp lệ",""),IF(AND($I424&lt;&gt;"",OR(LEN($I424)&lt;9,LEN($I424)&gt;15,NOT(ISNUMBER(--$I424)))),"Số điện thoại không hợp lệ","")))</f>
        <v/>
      </c>
      <c r="C424" s="20" t="n"/>
      <c r="D424" s="21" t="n"/>
      <c r="E424" s="22" t="n"/>
      <c r="F424" s="21" t="n"/>
      <c r="G424" s="21" t="n"/>
      <c r="H424" s="21" t="n"/>
      <c r="I424" s="20" t="n"/>
      <c r="J424" s="21" t="n"/>
      <c r="K424" s="21" t="n"/>
    </row>
    <row r="425">
      <c r="A425" s="19">
        <f>IF($C425="","CHƯA NHẬP",IF($B425="","HỢP LỆ","LỖI"))</f>
        <v/>
      </c>
      <c r="B425" s="19">
        <f>IF($C425="","",TEXTJOIN(" | ",TRUE,IF($C425="","Thiếu mã nhân viên",""),IF(COUNTIF($C$6:$C$505,$C425)&gt;1,"Trùng mã nhân viên",""),IF($D425="","Thiếu họ tên",""),IF(AND($E425&lt;&gt;"",OR(NOT(ISNUMBER($E425)),$E425&lt;DATE(1940,1,1),$E425&gt;TODAY())),"Ngày sinh không hợp lệ",""),IF(AND($G425&lt;&gt;"",OR(ISERROR(SEARCH("@",$G425)),ISERROR(SEARCH(".",$G425)))),"Email cá nhân không hợp lệ",""),IF(AND($H425&lt;&gt;"",OR(ISERROR(SEARCH("@",$H425)),ISERROR(SEARCH(".",$H425)))),"Email công ty không hợp lệ",""),IF(AND($I425&lt;&gt;"",OR(LEN($I425)&lt;9,LEN($I425)&gt;15,NOT(ISNUMBER(--$I425)))),"Số điện thoại không hợp lệ","")))</f>
        <v/>
      </c>
      <c r="C425" s="20" t="n"/>
      <c r="D425" s="21" t="n"/>
      <c r="E425" s="22" t="n"/>
      <c r="F425" s="21" t="n"/>
      <c r="G425" s="21" t="n"/>
      <c r="H425" s="21" t="n"/>
      <c r="I425" s="20" t="n"/>
      <c r="J425" s="21" t="n"/>
      <c r="K425" s="21" t="n"/>
    </row>
    <row r="426">
      <c r="A426" s="19">
        <f>IF($C426="","CHƯA NHẬP",IF($B426="","HỢP LỆ","LỖI"))</f>
        <v/>
      </c>
      <c r="B426" s="19">
        <f>IF($C426="","",TEXTJOIN(" | ",TRUE,IF($C426="","Thiếu mã nhân viên",""),IF(COUNTIF($C$6:$C$505,$C426)&gt;1,"Trùng mã nhân viên",""),IF($D426="","Thiếu họ tên",""),IF(AND($E426&lt;&gt;"",OR(NOT(ISNUMBER($E426)),$E426&lt;DATE(1940,1,1),$E426&gt;TODAY())),"Ngày sinh không hợp lệ",""),IF(AND($G426&lt;&gt;"",OR(ISERROR(SEARCH("@",$G426)),ISERROR(SEARCH(".",$G426)))),"Email cá nhân không hợp lệ",""),IF(AND($H426&lt;&gt;"",OR(ISERROR(SEARCH("@",$H426)),ISERROR(SEARCH(".",$H426)))),"Email công ty không hợp lệ",""),IF(AND($I426&lt;&gt;"",OR(LEN($I426)&lt;9,LEN($I426)&gt;15,NOT(ISNUMBER(--$I426)))),"Số điện thoại không hợp lệ","")))</f>
        <v/>
      </c>
      <c r="C426" s="20" t="n"/>
      <c r="D426" s="21" t="n"/>
      <c r="E426" s="22" t="n"/>
      <c r="F426" s="21" t="n"/>
      <c r="G426" s="21" t="n"/>
      <c r="H426" s="21" t="n"/>
      <c r="I426" s="20" t="n"/>
      <c r="J426" s="21" t="n"/>
      <c r="K426" s="21" t="n"/>
    </row>
    <row r="427">
      <c r="A427" s="19">
        <f>IF($C427="","CHƯA NHẬP",IF($B427="","HỢP LỆ","LỖI"))</f>
        <v/>
      </c>
      <c r="B427" s="19">
        <f>IF($C427="","",TEXTJOIN(" | ",TRUE,IF($C427="","Thiếu mã nhân viên",""),IF(COUNTIF($C$6:$C$505,$C427)&gt;1,"Trùng mã nhân viên",""),IF($D427="","Thiếu họ tên",""),IF(AND($E427&lt;&gt;"",OR(NOT(ISNUMBER($E427)),$E427&lt;DATE(1940,1,1),$E427&gt;TODAY())),"Ngày sinh không hợp lệ",""),IF(AND($G427&lt;&gt;"",OR(ISERROR(SEARCH("@",$G427)),ISERROR(SEARCH(".",$G427)))),"Email cá nhân không hợp lệ",""),IF(AND($H427&lt;&gt;"",OR(ISERROR(SEARCH("@",$H427)),ISERROR(SEARCH(".",$H427)))),"Email công ty không hợp lệ",""),IF(AND($I427&lt;&gt;"",OR(LEN($I427)&lt;9,LEN($I427)&gt;15,NOT(ISNUMBER(--$I427)))),"Số điện thoại không hợp lệ","")))</f>
        <v/>
      </c>
      <c r="C427" s="20" t="n"/>
      <c r="D427" s="21" t="n"/>
      <c r="E427" s="22" t="n"/>
      <c r="F427" s="21" t="n"/>
      <c r="G427" s="21" t="n"/>
      <c r="H427" s="21" t="n"/>
      <c r="I427" s="20" t="n"/>
      <c r="J427" s="21" t="n"/>
      <c r="K427" s="21" t="n"/>
    </row>
    <row r="428">
      <c r="A428" s="19">
        <f>IF($C428="","CHƯA NHẬP",IF($B428="","HỢP LỆ","LỖI"))</f>
        <v/>
      </c>
      <c r="B428" s="19">
        <f>IF($C428="","",TEXTJOIN(" | ",TRUE,IF($C428="","Thiếu mã nhân viên",""),IF(COUNTIF($C$6:$C$505,$C428)&gt;1,"Trùng mã nhân viên",""),IF($D428="","Thiếu họ tên",""),IF(AND($E428&lt;&gt;"",OR(NOT(ISNUMBER($E428)),$E428&lt;DATE(1940,1,1),$E428&gt;TODAY())),"Ngày sinh không hợp lệ",""),IF(AND($G428&lt;&gt;"",OR(ISERROR(SEARCH("@",$G428)),ISERROR(SEARCH(".",$G428)))),"Email cá nhân không hợp lệ",""),IF(AND($H428&lt;&gt;"",OR(ISERROR(SEARCH("@",$H428)),ISERROR(SEARCH(".",$H428)))),"Email công ty không hợp lệ",""),IF(AND($I428&lt;&gt;"",OR(LEN($I428)&lt;9,LEN($I428)&gt;15,NOT(ISNUMBER(--$I428)))),"Số điện thoại không hợp lệ","")))</f>
        <v/>
      </c>
      <c r="C428" s="20" t="n"/>
      <c r="D428" s="21" t="n"/>
      <c r="E428" s="22" t="n"/>
      <c r="F428" s="21" t="n"/>
      <c r="G428" s="21" t="n"/>
      <c r="H428" s="21" t="n"/>
      <c r="I428" s="20" t="n"/>
      <c r="J428" s="21" t="n"/>
      <c r="K428" s="21" t="n"/>
    </row>
    <row r="429">
      <c r="A429" s="19">
        <f>IF($C429="","CHƯA NHẬP",IF($B429="","HỢP LỆ","LỖI"))</f>
        <v/>
      </c>
      <c r="B429" s="19">
        <f>IF($C429="","",TEXTJOIN(" | ",TRUE,IF($C429="","Thiếu mã nhân viên",""),IF(COUNTIF($C$6:$C$505,$C429)&gt;1,"Trùng mã nhân viên",""),IF($D429="","Thiếu họ tên",""),IF(AND($E429&lt;&gt;"",OR(NOT(ISNUMBER($E429)),$E429&lt;DATE(1940,1,1),$E429&gt;TODAY())),"Ngày sinh không hợp lệ",""),IF(AND($G429&lt;&gt;"",OR(ISERROR(SEARCH("@",$G429)),ISERROR(SEARCH(".",$G429)))),"Email cá nhân không hợp lệ",""),IF(AND($H429&lt;&gt;"",OR(ISERROR(SEARCH("@",$H429)),ISERROR(SEARCH(".",$H429)))),"Email công ty không hợp lệ",""),IF(AND($I429&lt;&gt;"",OR(LEN($I429)&lt;9,LEN($I429)&gt;15,NOT(ISNUMBER(--$I429)))),"Số điện thoại không hợp lệ","")))</f>
        <v/>
      </c>
      <c r="C429" s="20" t="n"/>
      <c r="D429" s="21" t="n"/>
      <c r="E429" s="22" t="n"/>
      <c r="F429" s="21" t="n"/>
      <c r="G429" s="21" t="n"/>
      <c r="H429" s="21" t="n"/>
      <c r="I429" s="20" t="n"/>
      <c r="J429" s="21" t="n"/>
      <c r="K429" s="21" t="n"/>
    </row>
    <row r="430">
      <c r="A430" s="19">
        <f>IF($C430="","CHƯA NHẬP",IF($B430="","HỢP LỆ","LỖI"))</f>
        <v/>
      </c>
      <c r="B430" s="19">
        <f>IF($C430="","",TEXTJOIN(" | ",TRUE,IF($C430="","Thiếu mã nhân viên",""),IF(COUNTIF($C$6:$C$505,$C430)&gt;1,"Trùng mã nhân viên",""),IF($D430="","Thiếu họ tên",""),IF(AND($E430&lt;&gt;"",OR(NOT(ISNUMBER($E430)),$E430&lt;DATE(1940,1,1),$E430&gt;TODAY())),"Ngày sinh không hợp lệ",""),IF(AND($G430&lt;&gt;"",OR(ISERROR(SEARCH("@",$G430)),ISERROR(SEARCH(".",$G430)))),"Email cá nhân không hợp lệ",""),IF(AND($H430&lt;&gt;"",OR(ISERROR(SEARCH("@",$H430)),ISERROR(SEARCH(".",$H430)))),"Email công ty không hợp lệ",""),IF(AND($I430&lt;&gt;"",OR(LEN($I430)&lt;9,LEN($I430)&gt;15,NOT(ISNUMBER(--$I430)))),"Số điện thoại không hợp lệ","")))</f>
        <v/>
      </c>
      <c r="C430" s="20" t="n"/>
      <c r="D430" s="21" t="n"/>
      <c r="E430" s="22" t="n"/>
      <c r="F430" s="21" t="n"/>
      <c r="G430" s="21" t="n"/>
      <c r="H430" s="21" t="n"/>
      <c r="I430" s="20" t="n"/>
      <c r="J430" s="21" t="n"/>
      <c r="K430" s="21" t="n"/>
    </row>
    <row r="431">
      <c r="A431" s="19">
        <f>IF($C431="","CHƯA NHẬP",IF($B431="","HỢP LỆ","LỖI"))</f>
        <v/>
      </c>
      <c r="B431" s="19">
        <f>IF($C431="","",TEXTJOIN(" | ",TRUE,IF($C431="","Thiếu mã nhân viên",""),IF(COUNTIF($C$6:$C$505,$C431)&gt;1,"Trùng mã nhân viên",""),IF($D431="","Thiếu họ tên",""),IF(AND($E431&lt;&gt;"",OR(NOT(ISNUMBER($E431)),$E431&lt;DATE(1940,1,1),$E431&gt;TODAY())),"Ngày sinh không hợp lệ",""),IF(AND($G431&lt;&gt;"",OR(ISERROR(SEARCH("@",$G431)),ISERROR(SEARCH(".",$G431)))),"Email cá nhân không hợp lệ",""),IF(AND($H431&lt;&gt;"",OR(ISERROR(SEARCH("@",$H431)),ISERROR(SEARCH(".",$H431)))),"Email công ty không hợp lệ",""),IF(AND($I431&lt;&gt;"",OR(LEN($I431)&lt;9,LEN($I431)&gt;15,NOT(ISNUMBER(--$I431)))),"Số điện thoại không hợp lệ","")))</f>
        <v/>
      </c>
      <c r="C431" s="20" t="n"/>
      <c r="D431" s="21" t="n"/>
      <c r="E431" s="22" t="n"/>
      <c r="F431" s="21" t="n"/>
      <c r="G431" s="21" t="n"/>
      <c r="H431" s="21" t="n"/>
      <c r="I431" s="20" t="n"/>
      <c r="J431" s="21" t="n"/>
      <c r="K431" s="21" t="n"/>
    </row>
    <row r="432">
      <c r="A432" s="19">
        <f>IF($C432="","CHƯA NHẬP",IF($B432="","HỢP LỆ","LỖI"))</f>
        <v/>
      </c>
      <c r="B432" s="19">
        <f>IF($C432="","",TEXTJOIN(" | ",TRUE,IF($C432="","Thiếu mã nhân viên",""),IF(COUNTIF($C$6:$C$505,$C432)&gt;1,"Trùng mã nhân viên",""),IF($D432="","Thiếu họ tên",""),IF(AND($E432&lt;&gt;"",OR(NOT(ISNUMBER($E432)),$E432&lt;DATE(1940,1,1),$E432&gt;TODAY())),"Ngày sinh không hợp lệ",""),IF(AND($G432&lt;&gt;"",OR(ISERROR(SEARCH("@",$G432)),ISERROR(SEARCH(".",$G432)))),"Email cá nhân không hợp lệ",""),IF(AND($H432&lt;&gt;"",OR(ISERROR(SEARCH("@",$H432)),ISERROR(SEARCH(".",$H432)))),"Email công ty không hợp lệ",""),IF(AND($I432&lt;&gt;"",OR(LEN($I432)&lt;9,LEN($I432)&gt;15,NOT(ISNUMBER(--$I432)))),"Số điện thoại không hợp lệ","")))</f>
        <v/>
      </c>
      <c r="C432" s="20" t="n"/>
      <c r="D432" s="21" t="n"/>
      <c r="E432" s="22" t="n"/>
      <c r="F432" s="21" t="n"/>
      <c r="G432" s="21" t="n"/>
      <c r="H432" s="21" t="n"/>
      <c r="I432" s="20" t="n"/>
      <c r="J432" s="21" t="n"/>
      <c r="K432" s="21" t="n"/>
    </row>
    <row r="433">
      <c r="A433" s="19">
        <f>IF($C433="","CHƯA NHẬP",IF($B433="","HỢP LỆ","LỖI"))</f>
        <v/>
      </c>
      <c r="B433" s="19">
        <f>IF($C433="","",TEXTJOIN(" | ",TRUE,IF($C433="","Thiếu mã nhân viên",""),IF(COUNTIF($C$6:$C$505,$C433)&gt;1,"Trùng mã nhân viên",""),IF($D433="","Thiếu họ tên",""),IF(AND($E433&lt;&gt;"",OR(NOT(ISNUMBER($E433)),$E433&lt;DATE(1940,1,1),$E433&gt;TODAY())),"Ngày sinh không hợp lệ",""),IF(AND($G433&lt;&gt;"",OR(ISERROR(SEARCH("@",$G433)),ISERROR(SEARCH(".",$G433)))),"Email cá nhân không hợp lệ",""),IF(AND($H433&lt;&gt;"",OR(ISERROR(SEARCH("@",$H433)),ISERROR(SEARCH(".",$H433)))),"Email công ty không hợp lệ",""),IF(AND($I433&lt;&gt;"",OR(LEN($I433)&lt;9,LEN($I433)&gt;15,NOT(ISNUMBER(--$I433)))),"Số điện thoại không hợp lệ","")))</f>
        <v/>
      </c>
      <c r="C433" s="20" t="n"/>
      <c r="D433" s="21" t="n"/>
      <c r="E433" s="22" t="n"/>
      <c r="F433" s="21" t="n"/>
      <c r="G433" s="21" t="n"/>
      <c r="H433" s="21" t="n"/>
      <c r="I433" s="20" t="n"/>
      <c r="J433" s="21" t="n"/>
      <c r="K433" s="21" t="n"/>
    </row>
    <row r="434">
      <c r="A434" s="19">
        <f>IF($C434="","CHƯA NHẬP",IF($B434="","HỢP LỆ","LỖI"))</f>
        <v/>
      </c>
      <c r="B434" s="19">
        <f>IF($C434="","",TEXTJOIN(" | ",TRUE,IF($C434="","Thiếu mã nhân viên",""),IF(COUNTIF($C$6:$C$505,$C434)&gt;1,"Trùng mã nhân viên",""),IF($D434="","Thiếu họ tên",""),IF(AND($E434&lt;&gt;"",OR(NOT(ISNUMBER($E434)),$E434&lt;DATE(1940,1,1),$E434&gt;TODAY())),"Ngày sinh không hợp lệ",""),IF(AND($G434&lt;&gt;"",OR(ISERROR(SEARCH("@",$G434)),ISERROR(SEARCH(".",$G434)))),"Email cá nhân không hợp lệ",""),IF(AND($H434&lt;&gt;"",OR(ISERROR(SEARCH("@",$H434)),ISERROR(SEARCH(".",$H434)))),"Email công ty không hợp lệ",""),IF(AND($I434&lt;&gt;"",OR(LEN($I434)&lt;9,LEN($I434)&gt;15,NOT(ISNUMBER(--$I434)))),"Số điện thoại không hợp lệ","")))</f>
        <v/>
      </c>
      <c r="C434" s="20" t="n"/>
      <c r="D434" s="21" t="n"/>
      <c r="E434" s="22" t="n"/>
      <c r="F434" s="21" t="n"/>
      <c r="G434" s="21" t="n"/>
      <c r="H434" s="21" t="n"/>
      <c r="I434" s="20" t="n"/>
      <c r="J434" s="21" t="n"/>
      <c r="K434" s="21" t="n"/>
    </row>
    <row r="435">
      <c r="A435" s="19">
        <f>IF($C435="","CHƯA NHẬP",IF($B435="","HỢP LỆ","LỖI"))</f>
        <v/>
      </c>
      <c r="B435" s="19">
        <f>IF($C435="","",TEXTJOIN(" | ",TRUE,IF($C435="","Thiếu mã nhân viên",""),IF(COUNTIF($C$6:$C$505,$C435)&gt;1,"Trùng mã nhân viên",""),IF($D435="","Thiếu họ tên",""),IF(AND($E435&lt;&gt;"",OR(NOT(ISNUMBER($E435)),$E435&lt;DATE(1940,1,1),$E435&gt;TODAY())),"Ngày sinh không hợp lệ",""),IF(AND($G435&lt;&gt;"",OR(ISERROR(SEARCH("@",$G435)),ISERROR(SEARCH(".",$G435)))),"Email cá nhân không hợp lệ",""),IF(AND($H435&lt;&gt;"",OR(ISERROR(SEARCH("@",$H435)),ISERROR(SEARCH(".",$H435)))),"Email công ty không hợp lệ",""),IF(AND($I435&lt;&gt;"",OR(LEN($I435)&lt;9,LEN($I435)&gt;15,NOT(ISNUMBER(--$I435)))),"Số điện thoại không hợp lệ","")))</f>
        <v/>
      </c>
      <c r="C435" s="20" t="n"/>
      <c r="D435" s="21" t="n"/>
      <c r="E435" s="22" t="n"/>
      <c r="F435" s="21" t="n"/>
      <c r="G435" s="21" t="n"/>
      <c r="H435" s="21" t="n"/>
      <c r="I435" s="20" t="n"/>
      <c r="J435" s="21" t="n"/>
      <c r="K435" s="21" t="n"/>
    </row>
    <row r="436">
      <c r="A436" s="19">
        <f>IF($C436="","CHƯA NHẬP",IF($B436="","HỢP LỆ","LỖI"))</f>
        <v/>
      </c>
      <c r="B436" s="19">
        <f>IF($C436="","",TEXTJOIN(" | ",TRUE,IF($C436="","Thiếu mã nhân viên",""),IF(COUNTIF($C$6:$C$505,$C436)&gt;1,"Trùng mã nhân viên",""),IF($D436="","Thiếu họ tên",""),IF(AND($E436&lt;&gt;"",OR(NOT(ISNUMBER($E436)),$E436&lt;DATE(1940,1,1),$E436&gt;TODAY())),"Ngày sinh không hợp lệ",""),IF(AND($G436&lt;&gt;"",OR(ISERROR(SEARCH("@",$G436)),ISERROR(SEARCH(".",$G436)))),"Email cá nhân không hợp lệ",""),IF(AND($H436&lt;&gt;"",OR(ISERROR(SEARCH("@",$H436)),ISERROR(SEARCH(".",$H436)))),"Email công ty không hợp lệ",""),IF(AND($I436&lt;&gt;"",OR(LEN($I436)&lt;9,LEN($I436)&gt;15,NOT(ISNUMBER(--$I436)))),"Số điện thoại không hợp lệ","")))</f>
        <v/>
      </c>
      <c r="C436" s="20" t="n"/>
      <c r="D436" s="21" t="n"/>
      <c r="E436" s="22" t="n"/>
      <c r="F436" s="21" t="n"/>
      <c r="G436" s="21" t="n"/>
      <c r="H436" s="21" t="n"/>
      <c r="I436" s="20" t="n"/>
      <c r="J436" s="21" t="n"/>
      <c r="K436" s="21" t="n"/>
    </row>
    <row r="437">
      <c r="A437" s="19">
        <f>IF($C437="","CHƯA NHẬP",IF($B437="","HỢP LỆ","LỖI"))</f>
        <v/>
      </c>
      <c r="B437" s="19">
        <f>IF($C437="","",TEXTJOIN(" | ",TRUE,IF($C437="","Thiếu mã nhân viên",""),IF(COUNTIF($C$6:$C$505,$C437)&gt;1,"Trùng mã nhân viên",""),IF($D437="","Thiếu họ tên",""),IF(AND($E437&lt;&gt;"",OR(NOT(ISNUMBER($E437)),$E437&lt;DATE(1940,1,1),$E437&gt;TODAY())),"Ngày sinh không hợp lệ",""),IF(AND($G437&lt;&gt;"",OR(ISERROR(SEARCH("@",$G437)),ISERROR(SEARCH(".",$G437)))),"Email cá nhân không hợp lệ",""),IF(AND($H437&lt;&gt;"",OR(ISERROR(SEARCH("@",$H437)),ISERROR(SEARCH(".",$H437)))),"Email công ty không hợp lệ",""),IF(AND($I437&lt;&gt;"",OR(LEN($I437)&lt;9,LEN($I437)&gt;15,NOT(ISNUMBER(--$I437)))),"Số điện thoại không hợp lệ","")))</f>
        <v/>
      </c>
      <c r="C437" s="20" t="n"/>
      <c r="D437" s="21" t="n"/>
      <c r="E437" s="22" t="n"/>
      <c r="F437" s="21" t="n"/>
      <c r="G437" s="21" t="n"/>
      <c r="H437" s="21" t="n"/>
      <c r="I437" s="20" t="n"/>
      <c r="J437" s="21" t="n"/>
      <c r="K437" s="21" t="n"/>
    </row>
    <row r="438">
      <c r="A438" s="19">
        <f>IF($C438="","CHƯA NHẬP",IF($B438="","HỢP LỆ","LỖI"))</f>
        <v/>
      </c>
      <c r="B438" s="19">
        <f>IF($C438="","",TEXTJOIN(" | ",TRUE,IF($C438="","Thiếu mã nhân viên",""),IF(COUNTIF($C$6:$C$505,$C438)&gt;1,"Trùng mã nhân viên",""),IF($D438="","Thiếu họ tên",""),IF(AND($E438&lt;&gt;"",OR(NOT(ISNUMBER($E438)),$E438&lt;DATE(1940,1,1),$E438&gt;TODAY())),"Ngày sinh không hợp lệ",""),IF(AND($G438&lt;&gt;"",OR(ISERROR(SEARCH("@",$G438)),ISERROR(SEARCH(".",$G438)))),"Email cá nhân không hợp lệ",""),IF(AND($H438&lt;&gt;"",OR(ISERROR(SEARCH("@",$H438)),ISERROR(SEARCH(".",$H438)))),"Email công ty không hợp lệ",""),IF(AND($I438&lt;&gt;"",OR(LEN($I438)&lt;9,LEN($I438)&gt;15,NOT(ISNUMBER(--$I438)))),"Số điện thoại không hợp lệ","")))</f>
        <v/>
      </c>
      <c r="C438" s="20" t="n"/>
      <c r="D438" s="21" t="n"/>
      <c r="E438" s="22" t="n"/>
      <c r="F438" s="21" t="n"/>
      <c r="G438" s="21" t="n"/>
      <c r="H438" s="21" t="n"/>
      <c r="I438" s="20" t="n"/>
      <c r="J438" s="21" t="n"/>
      <c r="K438" s="21" t="n"/>
    </row>
    <row r="439">
      <c r="A439" s="19">
        <f>IF($C439="","CHƯA NHẬP",IF($B439="","HỢP LỆ","LỖI"))</f>
        <v/>
      </c>
      <c r="B439" s="19">
        <f>IF($C439="","",TEXTJOIN(" | ",TRUE,IF($C439="","Thiếu mã nhân viên",""),IF(COUNTIF($C$6:$C$505,$C439)&gt;1,"Trùng mã nhân viên",""),IF($D439="","Thiếu họ tên",""),IF(AND($E439&lt;&gt;"",OR(NOT(ISNUMBER($E439)),$E439&lt;DATE(1940,1,1),$E439&gt;TODAY())),"Ngày sinh không hợp lệ",""),IF(AND($G439&lt;&gt;"",OR(ISERROR(SEARCH("@",$G439)),ISERROR(SEARCH(".",$G439)))),"Email cá nhân không hợp lệ",""),IF(AND($H439&lt;&gt;"",OR(ISERROR(SEARCH("@",$H439)),ISERROR(SEARCH(".",$H439)))),"Email công ty không hợp lệ",""),IF(AND($I439&lt;&gt;"",OR(LEN($I439)&lt;9,LEN($I439)&gt;15,NOT(ISNUMBER(--$I439)))),"Số điện thoại không hợp lệ","")))</f>
        <v/>
      </c>
      <c r="C439" s="20" t="n"/>
      <c r="D439" s="21" t="n"/>
      <c r="E439" s="22" t="n"/>
      <c r="F439" s="21" t="n"/>
      <c r="G439" s="21" t="n"/>
      <c r="H439" s="21" t="n"/>
      <c r="I439" s="20" t="n"/>
      <c r="J439" s="21" t="n"/>
      <c r="K439" s="21" t="n"/>
    </row>
    <row r="440">
      <c r="A440" s="19">
        <f>IF($C440="","CHƯA NHẬP",IF($B440="","HỢP LỆ","LỖI"))</f>
        <v/>
      </c>
      <c r="B440" s="19">
        <f>IF($C440="","",TEXTJOIN(" | ",TRUE,IF($C440="","Thiếu mã nhân viên",""),IF(COUNTIF($C$6:$C$505,$C440)&gt;1,"Trùng mã nhân viên",""),IF($D440="","Thiếu họ tên",""),IF(AND($E440&lt;&gt;"",OR(NOT(ISNUMBER($E440)),$E440&lt;DATE(1940,1,1),$E440&gt;TODAY())),"Ngày sinh không hợp lệ",""),IF(AND($G440&lt;&gt;"",OR(ISERROR(SEARCH("@",$G440)),ISERROR(SEARCH(".",$G440)))),"Email cá nhân không hợp lệ",""),IF(AND($H440&lt;&gt;"",OR(ISERROR(SEARCH("@",$H440)),ISERROR(SEARCH(".",$H440)))),"Email công ty không hợp lệ",""),IF(AND($I440&lt;&gt;"",OR(LEN($I440)&lt;9,LEN($I440)&gt;15,NOT(ISNUMBER(--$I440)))),"Số điện thoại không hợp lệ","")))</f>
        <v/>
      </c>
      <c r="C440" s="20" t="n"/>
      <c r="D440" s="21" t="n"/>
      <c r="E440" s="22" t="n"/>
      <c r="F440" s="21" t="n"/>
      <c r="G440" s="21" t="n"/>
      <c r="H440" s="21" t="n"/>
      <c r="I440" s="20" t="n"/>
      <c r="J440" s="21" t="n"/>
      <c r="K440" s="21" t="n"/>
    </row>
    <row r="441">
      <c r="A441" s="19">
        <f>IF($C441="","CHƯA NHẬP",IF($B441="","HỢP LỆ","LỖI"))</f>
        <v/>
      </c>
      <c r="B441" s="19">
        <f>IF($C441="","",TEXTJOIN(" | ",TRUE,IF($C441="","Thiếu mã nhân viên",""),IF(COUNTIF($C$6:$C$505,$C441)&gt;1,"Trùng mã nhân viên",""),IF($D441="","Thiếu họ tên",""),IF(AND($E441&lt;&gt;"",OR(NOT(ISNUMBER($E441)),$E441&lt;DATE(1940,1,1),$E441&gt;TODAY())),"Ngày sinh không hợp lệ",""),IF(AND($G441&lt;&gt;"",OR(ISERROR(SEARCH("@",$G441)),ISERROR(SEARCH(".",$G441)))),"Email cá nhân không hợp lệ",""),IF(AND($H441&lt;&gt;"",OR(ISERROR(SEARCH("@",$H441)),ISERROR(SEARCH(".",$H441)))),"Email công ty không hợp lệ",""),IF(AND($I441&lt;&gt;"",OR(LEN($I441)&lt;9,LEN($I441)&gt;15,NOT(ISNUMBER(--$I441)))),"Số điện thoại không hợp lệ","")))</f>
        <v/>
      </c>
      <c r="C441" s="20" t="n"/>
      <c r="D441" s="21" t="n"/>
      <c r="E441" s="22" t="n"/>
      <c r="F441" s="21" t="n"/>
      <c r="G441" s="21" t="n"/>
      <c r="H441" s="21" t="n"/>
      <c r="I441" s="20" t="n"/>
      <c r="J441" s="21" t="n"/>
      <c r="K441" s="21" t="n"/>
    </row>
    <row r="442">
      <c r="A442" s="19">
        <f>IF($C442="","CHƯA NHẬP",IF($B442="","HỢP LỆ","LỖI"))</f>
        <v/>
      </c>
      <c r="B442" s="19">
        <f>IF($C442="","",TEXTJOIN(" | ",TRUE,IF($C442="","Thiếu mã nhân viên",""),IF(COUNTIF($C$6:$C$505,$C442)&gt;1,"Trùng mã nhân viên",""),IF($D442="","Thiếu họ tên",""),IF(AND($E442&lt;&gt;"",OR(NOT(ISNUMBER($E442)),$E442&lt;DATE(1940,1,1),$E442&gt;TODAY())),"Ngày sinh không hợp lệ",""),IF(AND($G442&lt;&gt;"",OR(ISERROR(SEARCH("@",$G442)),ISERROR(SEARCH(".",$G442)))),"Email cá nhân không hợp lệ",""),IF(AND($H442&lt;&gt;"",OR(ISERROR(SEARCH("@",$H442)),ISERROR(SEARCH(".",$H442)))),"Email công ty không hợp lệ",""),IF(AND($I442&lt;&gt;"",OR(LEN($I442)&lt;9,LEN($I442)&gt;15,NOT(ISNUMBER(--$I442)))),"Số điện thoại không hợp lệ","")))</f>
        <v/>
      </c>
      <c r="C442" s="20" t="n"/>
      <c r="D442" s="21" t="n"/>
      <c r="E442" s="22" t="n"/>
      <c r="F442" s="21" t="n"/>
      <c r="G442" s="21" t="n"/>
      <c r="H442" s="21" t="n"/>
      <c r="I442" s="20" t="n"/>
      <c r="J442" s="21" t="n"/>
      <c r="K442" s="21" t="n"/>
    </row>
    <row r="443">
      <c r="A443" s="19">
        <f>IF($C443="","CHƯA NHẬP",IF($B443="","HỢP LỆ","LỖI"))</f>
        <v/>
      </c>
      <c r="B443" s="19">
        <f>IF($C443="","",TEXTJOIN(" | ",TRUE,IF($C443="","Thiếu mã nhân viên",""),IF(COUNTIF($C$6:$C$505,$C443)&gt;1,"Trùng mã nhân viên",""),IF($D443="","Thiếu họ tên",""),IF(AND($E443&lt;&gt;"",OR(NOT(ISNUMBER($E443)),$E443&lt;DATE(1940,1,1),$E443&gt;TODAY())),"Ngày sinh không hợp lệ",""),IF(AND($G443&lt;&gt;"",OR(ISERROR(SEARCH("@",$G443)),ISERROR(SEARCH(".",$G443)))),"Email cá nhân không hợp lệ",""),IF(AND($H443&lt;&gt;"",OR(ISERROR(SEARCH("@",$H443)),ISERROR(SEARCH(".",$H443)))),"Email công ty không hợp lệ",""),IF(AND($I443&lt;&gt;"",OR(LEN($I443)&lt;9,LEN($I443)&gt;15,NOT(ISNUMBER(--$I443)))),"Số điện thoại không hợp lệ","")))</f>
        <v/>
      </c>
      <c r="C443" s="20" t="n"/>
      <c r="D443" s="21" t="n"/>
      <c r="E443" s="22" t="n"/>
      <c r="F443" s="21" t="n"/>
      <c r="G443" s="21" t="n"/>
      <c r="H443" s="21" t="n"/>
      <c r="I443" s="20" t="n"/>
      <c r="J443" s="21" t="n"/>
      <c r="K443" s="21" t="n"/>
    </row>
    <row r="444">
      <c r="A444" s="19">
        <f>IF($C444="","CHƯA NHẬP",IF($B444="","HỢP LỆ","LỖI"))</f>
        <v/>
      </c>
      <c r="B444" s="19">
        <f>IF($C444="","",TEXTJOIN(" | ",TRUE,IF($C444="","Thiếu mã nhân viên",""),IF(COUNTIF($C$6:$C$505,$C444)&gt;1,"Trùng mã nhân viên",""),IF($D444="","Thiếu họ tên",""),IF(AND($E444&lt;&gt;"",OR(NOT(ISNUMBER($E444)),$E444&lt;DATE(1940,1,1),$E444&gt;TODAY())),"Ngày sinh không hợp lệ",""),IF(AND($G444&lt;&gt;"",OR(ISERROR(SEARCH("@",$G444)),ISERROR(SEARCH(".",$G444)))),"Email cá nhân không hợp lệ",""),IF(AND($H444&lt;&gt;"",OR(ISERROR(SEARCH("@",$H444)),ISERROR(SEARCH(".",$H444)))),"Email công ty không hợp lệ",""),IF(AND($I444&lt;&gt;"",OR(LEN($I444)&lt;9,LEN($I444)&gt;15,NOT(ISNUMBER(--$I444)))),"Số điện thoại không hợp lệ","")))</f>
        <v/>
      </c>
      <c r="C444" s="20" t="n"/>
      <c r="D444" s="21" t="n"/>
      <c r="E444" s="22" t="n"/>
      <c r="F444" s="21" t="n"/>
      <c r="G444" s="21" t="n"/>
      <c r="H444" s="21" t="n"/>
      <c r="I444" s="20" t="n"/>
      <c r="J444" s="21" t="n"/>
      <c r="K444" s="21" t="n"/>
    </row>
    <row r="445">
      <c r="A445" s="19">
        <f>IF($C445="","CHƯA NHẬP",IF($B445="","HỢP LỆ","LỖI"))</f>
        <v/>
      </c>
      <c r="B445" s="19">
        <f>IF($C445="","",TEXTJOIN(" | ",TRUE,IF($C445="","Thiếu mã nhân viên",""),IF(COUNTIF($C$6:$C$505,$C445)&gt;1,"Trùng mã nhân viên",""),IF($D445="","Thiếu họ tên",""),IF(AND($E445&lt;&gt;"",OR(NOT(ISNUMBER($E445)),$E445&lt;DATE(1940,1,1),$E445&gt;TODAY())),"Ngày sinh không hợp lệ",""),IF(AND($G445&lt;&gt;"",OR(ISERROR(SEARCH("@",$G445)),ISERROR(SEARCH(".",$G445)))),"Email cá nhân không hợp lệ",""),IF(AND($H445&lt;&gt;"",OR(ISERROR(SEARCH("@",$H445)),ISERROR(SEARCH(".",$H445)))),"Email công ty không hợp lệ",""),IF(AND($I445&lt;&gt;"",OR(LEN($I445)&lt;9,LEN($I445)&gt;15,NOT(ISNUMBER(--$I445)))),"Số điện thoại không hợp lệ","")))</f>
        <v/>
      </c>
      <c r="C445" s="20" t="n"/>
      <c r="D445" s="21" t="n"/>
      <c r="E445" s="22" t="n"/>
      <c r="F445" s="21" t="n"/>
      <c r="G445" s="21" t="n"/>
      <c r="H445" s="21" t="n"/>
      <c r="I445" s="20" t="n"/>
      <c r="J445" s="21" t="n"/>
      <c r="K445" s="21" t="n"/>
    </row>
    <row r="446">
      <c r="A446" s="19">
        <f>IF($C446="","CHƯA NHẬP",IF($B446="","HỢP LỆ","LỖI"))</f>
        <v/>
      </c>
      <c r="B446" s="19">
        <f>IF($C446="","",TEXTJOIN(" | ",TRUE,IF($C446="","Thiếu mã nhân viên",""),IF(COUNTIF($C$6:$C$505,$C446)&gt;1,"Trùng mã nhân viên",""),IF($D446="","Thiếu họ tên",""),IF(AND($E446&lt;&gt;"",OR(NOT(ISNUMBER($E446)),$E446&lt;DATE(1940,1,1),$E446&gt;TODAY())),"Ngày sinh không hợp lệ",""),IF(AND($G446&lt;&gt;"",OR(ISERROR(SEARCH("@",$G446)),ISERROR(SEARCH(".",$G446)))),"Email cá nhân không hợp lệ",""),IF(AND($H446&lt;&gt;"",OR(ISERROR(SEARCH("@",$H446)),ISERROR(SEARCH(".",$H446)))),"Email công ty không hợp lệ",""),IF(AND($I446&lt;&gt;"",OR(LEN($I446)&lt;9,LEN($I446)&gt;15,NOT(ISNUMBER(--$I446)))),"Số điện thoại không hợp lệ","")))</f>
        <v/>
      </c>
      <c r="C446" s="20" t="n"/>
      <c r="D446" s="21" t="n"/>
      <c r="E446" s="22" t="n"/>
      <c r="F446" s="21" t="n"/>
      <c r="G446" s="21" t="n"/>
      <c r="H446" s="21" t="n"/>
      <c r="I446" s="20" t="n"/>
      <c r="J446" s="21" t="n"/>
      <c r="K446" s="21" t="n"/>
    </row>
    <row r="447">
      <c r="A447" s="19">
        <f>IF($C447="","CHƯA NHẬP",IF($B447="","HỢP LỆ","LỖI"))</f>
        <v/>
      </c>
      <c r="B447" s="19">
        <f>IF($C447="","",TEXTJOIN(" | ",TRUE,IF($C447="","Thiếu mã nhân viên",""),IF(COUNTIF($C$6:$C$505,$C447)&gt;1,"Trùng mã nhân viên",""),IF($D447="","Thiếu họ tên",""),IF(AND($E447&lt;&gt;"",OR(NOT(ISNUMBER($E447)),$E447&lt;DATE(1940,1,1),$E447&gt;TODAY())),"Ngày sinh không hợp lệ",""),IF(AND($G447&lt;&gt;"",OR(ISERROR(SEARCH("@",$G447)),ISERROR(SEARCH(".",$G447)))),"Email cá nhân không hợp lệ",""),IF(AND($H447&lt;&gt;"",OR(ISERROR(SEARCH("@",$H447)),ISERROR(SEARCH(".",$H447)))),"Email công ty không hợp lệ",""),IF(AND($I447&lt;&gt;"",OR(LEN($I447)&lt;9,LEN($I447)&gt;15,NOT(ISNUMBER(--$I447)))),"Số điện thoại không hợp lệ","")))</f>
        <v/>
      </c>
      <c r="C447" s="20" t="n"/>
      <c r="D447" s="21" t="n"/>
      <c r="E447" s="22" t="n"/>
      <c r="F447" s="21" t="n"/>
      <c r="G447" s="21" t="n"/>
      <c r="H447" s="21" t="n"/>
      <c r="I447" s="20" t="n"/>
      <c r="J447" s="21" t="n"/>
      <c r="K447" s="21" t="n"/>
    </row>
    <row r="448">
      <c r="A448" s="19">
        <f>IF($C448="","CHƯA NHẬP",IF($B448="","HỢP LỆ","LỖI"))</f>
        <v/>
      </c>
      <c r="B448" s="19">
        <f>IF($C448="","",TEXTJOIN(" | ",TRUE,IF($C448="","Thiếu mã nhân viên",""),IF(COUNTIF($C$6:$C$505,$C448)&gt;1,"Trùng mã nhân viên",""),IF($D448="","Thiếu họ tên",""),IF(AND($E448&lt;&gt;"",OR(NOT(ISNUMBER($E448)),$E448&lt;DATE(1940,1,1),$E448&gt;TODAY())),"Ngày sinh không hợp lệ",""),IF(AND($G448&lt;&gt;"",OR(ISERROR(SEARCH("@",$G448)),ISERROR(SEARCH(".",$G448)))),"Email cá nhân không hợp lệ",""),IF(AND($H448&lt;&gt;"",OR(ISERROR(SEARCH("@",$H448)),ISERROR(SEARCH(".",$H448)))),"Email công ty không hợp lệ",""),IF(AND($I448&lt;&gt;"",OR(LEN($I448)&lt;9,LEN($I448)&gt;15,NOT(ISNUMBER(--$I448)))),"Số điện thoại không hợp lệ","")))</f>
        <v/>
      </c>
      <c r="C448" s="20" t="n"/>
      <c r="D448" s="21" t="n"/>
      <c r="E448" s="22" t="n"/>
      <c r="F448" s="21" t="n"/>
      <c r="G448" s="21" t="n"/>
      <c r="H448" s="21" t="n"/>
      <c r="I448" s="20" t="n"/>
      <c r="J448" s="21" t="n"/>
      <c r="K448" s="21" t="n"/>
    </row>
    <row r="449">
      <c r="A449" s="19">
        <f>IF($C449="","CHƯA NHẬP",IF($B449="","HỢP LỆ","LỖI"))</f>
        <v/>
      </c>
      <c r="B449" s="19">
        <f>IF($C449="","",TEXTJOIN(" | ",TRUE,IF($C449="","Thiếu mã nhân viên",""),IF(COUNTIF($C$6:$C$505,$C449)&gt;1,"Trùng mã nhân viên",""),IF($D449="","Thiếu họ tên",""),IF(AND($E449&lt;&gt;"",OR(NOT(ISNUMBER($E449)),$E449&lt;DATE(1940,1,1),$E449&gt;TODAY())),"Ngày sinh không hợp lệ",""),IF(AND($G449&lt;&gt;"",OR(ISERROR(SEARCH("@",$G449)),ISERROR(SEARCH(".",$G449)))),"Email cá nhân không hợp lệ",""),IF(AND($H449&lt;&gt;"",OR(ISERROR(SEARCH("@",$H449)),ISERROR(SEARCH(".",$H449)))),"Email công ty không hợp lệ",""),IF(AND($I449&lt;&gt;"",OR(LEN($I449)&lt;9,LEN($I449)&gt;15,NOT(ISNUMBER(--$I449)))),"Số điện thoại không hợp lệ","")))</f>
        <v/>
      </c>
      <c r="C449" s="20" t="n"/>
      <c r="D449" s="21" t="n"/>
      <c r="E449" s="22" t="n"/>
      <c r="F449" s="21" t="n"/>
      <c r="G449" s="21" t="n"/>
      <c r="H449" s="21" t="n"/>
      <c r="I449" s="20" t="n"/>
      <c r="J449" s="21" t="n"/>
      <c r="K449" s="21" t="n"/>
    </row>
    <row r="450">
      <c r="A450" s="19">
        <f>IF($C450="","CHƯA NHẬP",IF($B450="","HỢP LỆ","LỖI"))</f>
        <v/>
      </c>
      <c r="B450" s="19">
        <f>IF($C450="","",TEXTJOIN(" | ",TRUE,IF($C450="","Thiếu mã nhân viên",""),IF(COUNTIF($C$6:$C$505,$C450)&gt;1,"Trùng mã nhân viên",""),IF($D450="","Thiếu họ tên",""),IF(AND($E450&lt;&gt;"",OR(NOT(ISNUMBER($E450)),$E450&lt;DATE(1940,1,1),$E450&gt;TODAY())),"Ngày sinh không hợp lệ",""),IF(AND($G450&lt;&gt;"",OR(ISERROR(SEARCH("@",$G450)),ISERROR(SEARCH(".",$G450)))),"Email cá nhân không hợp lệ",""),IF(AND($H450&lt;&gt;"",OR(ISERROR(SEARCH("@",$H450)),ISERROR(SEARCH(".",$H450)))),"Email công ty không hợp lệ",""),IF(AND($I450&lt;&gt;"",OR(LEN($I450)&lt;9,LEN($I450)&gt;15,NOT(ISNUMBER(--$I450)))),"Số điện thoại không hợp lệ","")))</f>
        <v/>
      </c>
      <c r="C450" s="20" t="n"/>
      <c r="D450" s="21" t="n"/>
      <c r="E450" s="22" t="n"/>
      <c r="F450" s="21" t="n"/>
      <c r="G450" s="21" t="n"/>
      <c r="H450" s="21" t="n"/>
      <c r="I450" s="20" t="n"/>
      <c r="J450" s="21" t="n"/>
      <c r="K450" s="21" t="n"/>
    </row>
    <row r="451">
      <c r="A451" s="19">
        <f>IF($C451="","CHƯA NHẬP",IF($B451="","HỢP LỆ","LỖI"))</f>
        <v/>
      </c>
      <c r="B451" s="19">
        <f>IF($C451="","",TEXTJOIN(" | ",TRUE,IF($C451="","Thiếu mã nhân viên",""),IF(COUNTIF($C$6:$C$505,$C451)&gt;1,"Trùng mã nhân viên",""),IF($D451="","Thiếu họ tên",""),IF(AND($E451&lt;&gt;"",OR(NOT(ISNUMBER($E451)),$E451&lt;DATE(1940,1,1),$E451&gt;TODAY())),"Ngày sinh không hợp lệ",""),IF(AND($G451&lt;&gt;"",OR(ISERROR(SEARCH("@",$G451)),ISERROR(SEARCH(".",$G451)))),"Email cá nhân không hợp lệ",""),IF(AND($H451&lt;&gt;"",OR(ISERROR(SEARCH("@",$H451)),ISERROR(SEARCH(".",$H451)))),"Email công ty không hợp lệ",""),IF(AND($I451&lt;&gt;"",OR(LEN($I451)&lt;9,LEN($I451)&gt;15,NOT(ISNUMBER(--$I451)))),"Số điện thoại không hợp lệ","")))</f>
        <v/>
      </c>
      <c r="C451" s="20" t="n"/>
      <c r="D451" s="21" t="n"/>
      <c r="E451" s="22" t="n"/>
      <c r="F451" s="21" t="n"/>
      <c r="G451" s="21" t="n"/>
      <c r="H451" s="21" t="n"/>
      <c r="I451" s="20" t="n"/>
      <c r="J451" s="21" t="n"/>
      <c r="K451" s="21" t="n"/>
    </row>
    <row r="452">
      <c r="A452" s="19">
        <f>IF($C452="","CHƯA NHẬP",IF($B452="","HỢP LỆ","LỖI"))</f>
        <v/>
      </c>
      <c r="B452" s="19">
        <f>IF($C452="","",TEXTJOIN(" | ",TRUE,IF($C452="","Thiếu mã nhân viên",""),IF(COUNTIF($C$6:$C$505,$C452)&gt;1,"Trùng mã nhân viên",""),IF($D452="","Thiếu họ tên",""),IF(AND($E452&lt;&gt;"",OR(NOT(ISNUMBER($E452)),$E452&lt;DATE(1940,1,1),$E452&gt;TODAY())),"Ngày sinh không hợp lệ",""),IF(AND($G452&lt;&gt;"",OR(ISERROR(SEARCH("@",$G452)),ISERROR(SEARCH(".",$G452)))),"Email cá nhân không hợp lệ",""),IF(AND($H452&lt;&gt;"",OR(ISERROR(SEARCH("@",$H452)),ISERROR(SEARCH(".",$H452)))),"Email công ty không hợp lệ",""),IF(AND($I452&lt;&gt;"",OR(LEN($I452)&lt;9,LEN($I452)&gt;15,NOT(ISNUMBER(--$I452)))),"Số điện thoại không hợp lệ","")))</f>
        <v/>
      </c>
      <c r="C452" s="20" t="n"/>
      <c r="D452" s="21" t="n"/>
      <c r="E452" s="22" t="n"/>
      <c r="F452" s="21" t="n"/>
      <c r="G452" s="21" t="n"/>
      <c r="H452" s="21" t="n"/>
      <c r="I452" s="20" t="n"/>
      <c r="J452" s="21" t="n"/>
      <c r="K452" s="21" t="n"/>
    </row>
    <row r="453">
      <c r="A453" s="19">
        <f>IF($C453="","CHƯA NHẬP",IF($B453="","HỢP LỆ","LỖI"))</f>
        <v/>
      </c>
      <c r="B453" s="19">
        <f>IF($C453="","",TEXTJOIN(" | ",TRUE,IF($C453="","Thiếu mã nhân viên",""),IF(COUNTIF($C$6:$C$505,$C453)&gt;1,"Trùng mã nhân viên",""),IF($D453="","Thiếu họ tên",""),IF(AND($E453&lt;&gt;"",OR(NOT(ISNUMBER($E453)),$E453&lt;DATE(1940,1,1),$E453&gt;TODAY())),"Ngày sinh không hợp lệ",""),IF(AND($G453&lt;&gt;"",OR(ISERROR(SEARCH("@",$G453)),ISERROR(SEARCH(".",$G453)))),"Email cá nhân không hợp lệ",""),IF(AND($H453&lt;&gt;"",OR(ISERROR(SEARCH("@",$H453)),ISERROR(SEARCH(".",$H453)))),"Email công ty không hợp lệ",""),IF(AND($I453&lt;&gt;"",OR(LEN($I453)&lt;9,LEN($I453)&gt;15,NOT(ISNUMBER(--$I453)))),"Số điện thoại không hợp lệ","")))</f>
        <v/>
      </c>
      <c r="C453" s="20" t="n"/>
      <c r="D453" s="21" t="n"/>
      <c r="E453" s="22" t="n"/>
      <c r="F453" s="21" t="n"/>
      <c r="G453" s="21" t="n"/>
      <c r="H453" s="21" t="n"/>
      <c r="I453" s="20" t="n"/>
      <c r="J453" s="21" t="n"/>
      <c r="K453" s="21" t="n"/>
    </row>
    <row r="454">
      <c r="A454" s="19">
        <f>IF($C454="","CHƯA NHẬP",IF($B454="","HỢP LỆ","LỖI"))</f>
        <v/>
      </c>
      <c r="B454" s="19">
        <f>IF($C454="","",TEXTJOIN(" | ",TRUE,IF($C454="","Thiếu mã nhân viên",""),IF(COUNTIF($C$6:$C$505,$C454)&gt;1,"Trùng mã nhân viên",""),IF($D454="","Thiếu họ tên",""),IF(AND($E454&lt;&gt;"",OR(NOT(ISNUMBER($E454)),$E454&lt;DATE(1940,1,1),$E454&gt;TODAY())),"Ngày sinh không hợp lệ",""),IF(AND($G454&lt;&gt;"",OR(ISERROR(SEARCH("@",$G454)),ISERROR(SEARCH(".",$G454)))),"Email cá nhân không hợp lệ",""),IF(AND($H454&lt;&gt;"",OR(ISERROR(SEARCH("@",$H454)),ISERROR(SEARCH(".",$H454)))),"Email công ty không hợp lệ",""),IF(AND($I454&lt;&gt;"",OR(LEN($I454)&lt;9,LEN($I454)&gt;15,NOT(ISNUMBER(--$I454)))),"Số điện thoại không hợp lệ","")))</f>
        <v/>
      </c>
      <c r="C454" s="20" t="n"/>
      <c r="D454" s="21" t="n"/>
      <c r="E454" s="22" t="n"/>
      <c r="F454" s="21" t="n"/>
      <c r="G454" s="21" t="n"/>
      <c r="H454" s="21" t="n"/>
      <c r="I454" s="20" t="n"/>
      <c r="J454" s="21" t="n"/>
      <c r="K454" s="21" t="n"/>
    </row>
    <row r="455">
      <c r="A455" s="19">
        <f>IF($C455="","CHƯA NHẬP",IF($B455="","HỢP LỆ","LỖI"))</f>
        <v/>
      </c>
      <c r="B455" s="19">
        <f>IF($C455="","",TEXTJOIN(" | ",TRUE,IF($C455="","Thiếu mã nhân viên",""),IF(COUNTIF($C$6:$C$505,$C455)&gt;1,"Trùng mã nhân viên",""),IF($D455="","Thiếu họ tên",""),IF(AND($E455&lt;&gt;"",OR(NOT(ISNUMBER($E455)),$E455&lt;DATE(1940,1,1),$E455&gt;TODAY())),"Ngày sinh không hợp lệ",""),IF(AND($G455&lt;&gt;"",OR(ISERROR(SEARCH("@",$G455)),ISERROR(SEARCH(".",$G455)))),"Email cá nhân không hợp lệ",""),IF(AND($H455&lt;&gt;"",OR(ISERROR(SEARCH("@",$H455)),ISERROR(SEARCH(".",$H455)))),"Email công ty không hợp lệ",""),IF(AND($I455&lt;&gt;"",OR(LEN($I455)&lt;9,LEN($I455)&gt;15,NOT(ISNUMBER(--$I455)))),"Số điện thoại không hợp lệ","")))</f>
        <v/>
      </c>
      <c r="C455" s="20" t="n"/>
      <c r="D455" s="21" t="n"/>
      <c r="E455" s="22" t="n"/>
      <c r="F455" s="21" t="n"/>
      <c r="G455" s="21" t="n"/>
      <c r="H455" s="21" t="n"/>
      <c r="I455" s="20" t="n"/>
      <c r="J455" s="21" t="n"/>
      <c r="K455" s="21" t="n"/>
    </row>
    <row r="456">
      <c r="A456" s="19">
        <f>IF($C456="","CHƯA NHẬP",IF($B456="","HỢP LỆ","LỖI"))</f>
        <v/>
      </c>
      <c r="B456" s="19">
        <f>IF($C456="","",TEXTJOIN(" | ",TRUE,IF($C456="","Thiếu mã nhân viên",""),IF(COUNTIF($C$6:$C$505,$C456)&gt;1,"Trùng mã nhân viên",""),IF($D456="","Thiếu họ tên",""),IF(AND($E456&lt;&gt;"",OR(NOT(ISNUMBER($E456)),$E456&lt;DATE(1940,1,1),$E456&gt;TODAY())),"Ngày sinh không hợp lệ",""),IF(AND($G456&lt;&gt;"",OR(ISERROR(SEARCH("@",$G456)),ISERROR(SEARCH(".",$G456)))),"Email cá nhân không hợp lệ",""),IF(AND($H456&lt;&gt;"",OR(ISERROR(SEARCH("@",$H456)),ISERROR(SEARCH(".",$H456)))),"Email công ty không hợp lệ",""),IF(AND($I456&lt;&gt;"",OR(LEN($I456)&lt;9,LEN($I456)&gt;15,NOT(ISNUMBER(--$I456)))),"Số điện thoại không hợp lệ","")))</f>
        <v/>
      </c>
      <c r="C456" s="20" t="n"/>
      <c r="D456" s="21" t="n"/>
      <c r="E456" s="22" t="n"/>
      <c r="F456" s="21" t="n"/>
      <c r="G456" s="21" t="n"/>
      <c r="H456" s="21" t="n"/>
      <c r="I456" s="20" t="n"/>
      <c r="J456" s="21" t="n"/>
      <c r="K456" s="21" t="n"/>
    </row>
    <row r="457">
      <c r="A457" s="19">
        <f>IF($C457="","CHƯA NHẬP",IF($B457="","HỢP LỆ","LỖI"))</f>
        <v/>
      </c>
      <c r="B457" s="19">
        <f>IF($C457="","",TEXTJOIN(" | ",TRUE,IF($C457="","Thiếu mã nhân viên",""),IF(COUNTIF($C$6:$C$505,$C457)&gt;1,"Trùng mã nhân viên",""),IF($D457="","Thiếu họ tên",""),IF(AND($E457&lt;&gt;"",OR(NOT(ISNUMBER($E457)),$E457&lt;DATE(1940,1,1),$E457&gt;TODAY())),"Ngày sinh không hợp lệ",""),IF(AND($G457&lt;&gt;"",OR(ISERROR(SEARCH("@",$G457)),ISERROR(SEARCH(".",$G457)))),"Email cá nhân không hợp lệ",""),IF(AND($H457&lt;&gt;"",OR(ISERROR(SEARCH("@",$H457)),ISERROR(SEARCH(".",$H457)))),"Email công ty không hợp lệ",""),IF(AND($I457&lt;&gt;"",OR(LEN($I457)&lt;9,LEN($I457)&gt;15,NOT(ISNUMBER(--$I457)))),"Số điện thoại không hợp lệ","")))</f>
        <v/>
      </c>
      <c r="C457" s="20" t="n"/>
      <c r="D457" s="21" t="n"/>
      <c r="E457" s="22" t="n"/>
      <c r="F457" s="21" t="n"/>
      <c r="G457" s="21" t="n"/>
      <c r="H457" s="21" t="n"/>
      <c r="I457" s="20" t="n"/>
      <c r="J457" s="21" t="n"/>
      <c r="K457" s="21" t="n"/>
    </row>
    <row r="458">
      <c r="A458" s="19">
        <f>IF($C458="","CHƯA NHẬP",IF($B458="","HỢP LỆ","LỖI"))</f>
        <v/>
      </c>
      <c r="B458" s="19">
        <f>IF($C458="","",TEXTJOIN(" | ",TRUE,IF($C458="","Thiếu mã nhân viên",""),IF(COUNTIF($C$6:$C$505,$C458)&gt;1,"Trùng mã nhân viên",""),IF($D458="","Thiếu họ tên",""),IF(AND($E458&lt;&gt;"",OR(NOT(ISNUMBER($E458)),$E458&lt;DATE(1940,1,1),$E458&gt;TODAY())),"Ngày sinh không hợp lệ",""),IF(AND($G458&lt;&gt;"",OR(ISERROR(SEARCH("@",$G458)),ISERROR(SEARCH(".",$G458)))),"Email cá nhân không hợp lệ",""),IF(AND($H458&lt;&gt;"",OR(ISERROR(SEARCH("@",$H458)),ISERROR(SEARCH(".",$H458)))),"Email công ty không hợp lệ",""),IF(AND($I458&lt;&gt;"",OR(LEN($I458)&lt;9,LEN($I458)&gt;15,NOT(ISNUMBER(--$I458)))),"Số điện thoại không hợp lệ","")))</f>
        <v/>
      </c>
      <c r="C458" s="20" t="n"/>
      <c r="D458" s="21" t="n"/>
      <c r="E458" s="22" t="n"/>
      <c r="F458" s="21" t="n"/>
      <c r="G458" s="21" t="n"/>
      <c r="H458" s="21" t="n"/>
      <c r="I458" s="20" t="n"/>
      <c r="J458" s="21" t="n"/>
      <c r="K458" s="21" t="n"/>
    </row>
    <row r="459">
      <c r="A459" s="19">
        <f>IF($C459="","CHƯA NHẬP",IF($B459="","HỢP LỆ","LỖI"))</f>
        <v/>
      </c>
      <c r="B459" s="19">
        <f>IF($C459="","",TEXTJOIN(" | ",TRUE,IF($C459="","Thiếu mã nhân viên",""),IF(COUNTIF($C$6:$C$505,$C459)&gt;1,"Trùng mã nhân viên",""),IF($D459="","Thiếu họ tên",""),IF(AND($E459&lt;&gt;"",OR(NOT(ISNUMBER($E459)),$E459&lt;DATE(1940,1,1),$E459&gt;TODAY())),"Ngày sinh không hợp lệ",""),IF(AND($G459&lt;&gt;"",OR(ISERROR(SEARCH("@",$G459)),ISERROR(SEARCH(".",$G459)))),"Email cá nhân không hợp lệ",""),IF(AND($H459&lt;&gt;"",OR(ISERROR(SEARCH("@",$H459)),ISERROR(SEARCH(".",$H459)))),"Email công ty không hợp lệ",""),IF(AND($I459&lt;&gt;"",OR(LEN($I459)&lt;9,LEN($I459)&gt;15,NOT(ISNUMBER(--$I459)))),"Số điện thoại không hợp lệ","")))</f>
        <v/>
      </c>
      <c r="C459" s="20" t="n"/>
      <c r="D459" s="21" t="n"/>
      <c r="E459" s="22" t="n"/>
      <c r="F459" s="21" t="n"/>
      <c r="G459" s="21" t="n"/>
      <c r="H459" s="21" t="n"/>
      <c r="I459" s="20" t="n"/>
      <c r="J459" s="21" t="n"/>
      <c r="K459" s="21" t="n"/>
    </row>
    <row r="460">
      <c r="A460" s="19">
        <f>IF($C460="","CHƯA NHẬP",IF($B460="","HỢP LỆ","LỖI"))</f>
        <v/>
      </c>
      <c r="B460" s="19">
        <f>IF($C460="","",TEXTJOIN(" | ",TRUE,IF($C460="","Thiếu mã nhân viên",""),IF(COUNTIF($C$6:$C$505,$C460)&gt;1,"Trùng mã nhân viên",""),IF($D460="","Thiếu họ tên",""),IF(AND($E460&lt;&gt;"",OR(NOT(ISNUMBER($E460)),$E460&lt;DATE(1940,1,1),$E460&gt;TODAY())),"Ngày sinh không hợp lệ",""),IF(AND($G460&lt;&gt;"",OR(ISERROR(SEARCH("@",$G460)),ISERROR(SEARCH(".",$G460)))),"Email cá nhân không hợp lệ",""),IF(AND($H460&lt;&gt;"",OR(ISERROR(SEARCH("@",$H460)),ISERROR(SEARCH(".",$H460)))),"Email công ty không hợp lệ",""),IF(AND($I460&lt;&gt;"",OR(LEN($I460)&lt;9,LEN($I460)&gt;15,NOT(ISNUMBER(--$I460)))),"Số điện thoại không hợp lệ","")))</f>
        <v/>
      </c>
      <c r="C460" s="20" t="n"/>
      <c r="D460" s="21" t="n"/>
      <c r="E460" s="22" t="n"/>
      <c r="F460" s="21" t="n"/>
      <c r="G460" s="21" t="n"/>
      <c r="H460" s="21" t="n"/>
      <c r="I460" s="20" t="n"/>
      <c r="J460" s="21" t="n"/>
      <c r="K460" s="21" t="n"/>
    </row>
    <row r="461">
      <c r="A461" s="19">
        <f>IF($C461="","CHƯA NHẬP",IF($B461="","HỢP LỆ","LỖI"))</f>
        <v/>
      </c>
      <c r="B461" s="19">
        <f>IF($C461="","",TEXTJOIN(" | ",TRUE,IF($C461="","Thiếu mã nhân viên",""),IF(COUNTIF($C$6:$C$505,$C461)&gt;1,"Trùng mã nhân viên",""),IF($D461="","Thiếu họ tên",""),IF(AND($E461&lt;&gt;"",OR(NOT(ISNUMBER($E461)),$E461&lt;DATE(1940,1,1),$E461&gt;TODAY())),"Ngày sinh không hợp lệ",""),IF(AND($G461&lt;&gt;"",OR(ISERROR(SEARCH("@",$G461)),ISERROR(SEARCH(".",$G461)))),"Email cá nhân không hợp lệ",""),IF(AND($H461&lt;&gt;"",OR(ISERROR(SEARCH("@",$H461)),ISERROR(SEARCH(".",$H461)))),"Email công ty không hợp lệ",""),IF(AND($I461&lt;&gt;"",OR(LEN($I461)&lt;9,LEN($I461)&gt;15,NOT(ISNUMBER(--$I461)))),"Số điện thoại không hợp lệ","")))</f>
        <v/>
      </c>
      <c r="C461" s="20" t="n"/>
      <c r="D461" s="21" t="n"/>
      <c r="E461" s="22" t="n"/>
      <c r="F461" s="21" t="n"/>
      <c r="G461" s="21" t="n"/>
      <c r="H461" s="21" t="n"/>
      <c r="I461" s="20" t="n"/>
      <c r="J461" s="21" t="n"/>
      <c r="K461" s="21" t="n"/>
    </row>
    <row r="462">
      <c r="A462" s="19">
        <f>IF($C462="","CHƯA NHẬP",IF($B462="","HỢP LỆ","LỖI"))</f>
        <v/>
      </c>
      <c r="B462" s="19">
        <f>IF($C462="","",TEXTJOIN(" | ",TRUE,IF($C462="","Thiếu mã nhân viên",""),IF(COUNTIF($C$6:$C$505,$C462)&gt;1,"Trùng mã nhân viên",""),IF($D462="","Thiếu họ tên",""),IF(AND($E462&lt;&gt;"",OR(NOT(ISNUMBER($E462)),$E462&lt;DATE(1940,1,1),$E462&gt;TODAY())),"Ngày sinh không hợp lệ",""),IF(AND($G462&lt;&gt;"",OR(ISERROR(SEARCH("@",$G462)),ISERROR(SEARCH(".",$G462)))),"Email cá nhân không hợp lệ",""),IF(AND($H462&lt;&gt;"",OR(ISERROR(SEARCH("@",$H462)),ISERROR(SEARCH(".",$H462)))),"Email công ty không hợp lệ",""),IF(AND($I462&lt;&gt;"",OR(LEN($I462)&lt;9,LEN($I462)&gt;15,NOT(ISNUMBER(--$I462)))),"Số điện thoại không hợp lệ","")))</f>
        <v/>
      </c>
      <c r="C462" s="20" t="n"/>
      <c r="D462" s="21" t="n"/>
      <c r="E462" s="22" t="n"/>
      <c r="F462" s="21" t="n"/>
      <c r="G462" s="21" t="n"/>
      <c r="H462" s="21" t="n"/>
      <c r="I462" s="20" t="n"/>
      <c r="J462" s="21" t="n"/>
      <c r="K462" s="21" t="n"/>
    </row>
    <row r="463">
      <c r="A463" s="19">
        <f>IF($C463="","CHƯA NHẬP",IF($B463="","HỢP LỆ","LỖI"))</f>
        <v/>
      </c>
      <c r="B463" s="19">
        <f>IF($C463="","",TEXTJOIN(" | ",TRUE,IF($C463="","Thiếu mã nhân viên",""),IF(COUNTIF($C$6:$C$505,$C463)&gt;1,"Trùng mã nhân viên",""),IF($D463="","Thiếu họ tên",""),IF(AND($E463&lt;&gt;"",OR(NOT(ISNUMBER($E463)),$E463&lt;DATE(1940,1,1),$E463&gt;TODAY())),"Ngày sinh không hợp lệ",""),IF(AND($G463&lt;&gt;"",OR(ISERROR(SEARCH("@",$G463)),ISERROR(SEARCH(".",$G463)))),"Email cá nhân không hợp lệ",""),IF(AND($H463&lt;&gt;"",OR(ISERROR(SEARCH("@",$H463)),ISERROR(SEARCH(".",$H463)))),"Email công ty không hợp lệ",""),IF(AND($I463&lt;&gt;"",OR(LEN($I463)&lt;9,LEN($I463)&gt;15,NOT(ISNUMBER(--$I463)))),"Số điện thoại không hợp lệ","")))</f>
        <v/>
      </c>
      <c r="C463" s="20" t="n"/>
      <c r="D463" s="21" t="n"/>
      <c r="E463" s="22" t="n"/>
      <c r="F463" s="21" t="n"/>
      <c r="G463" s="21" t="n"/>
      <c r="H463" s="21" t="n"/>
      <c r="I463" s="20" t="n"/>
      <c r="J463" s="21" t="n"/>
      <c r="K463" s="21" t="n"/>
    </row>
    <row r="464">
      <c r="A464" s="19">
        <f>IF($C464="","CHƯA NHẬP",IF($B464="","HỢP LỆ","LỖI"))</f>
        <v/>
      </c>
      <c r="B464" s="19">
        <f>IF($C464="","",TEXTJOIN(" | ",TRUE,IF($C464="","Thiếu mã nhân viên",""),IF(COUNTIF($C$6:$C$505,$C464)&gt;1,"Trùng mã nhân viên",""),IF($D464="","Thiếu họ tên",""),IF(AND($E464&lt;&gt;"",OR(NOT(ISNUMBER($E464)),$E464&lt;DATE(1940,1,1),$E464&gt;TODAY())),"Ngày sinh không hợp lệ",""),IF(AND($G464&lt;&gt;"",OR(ISERROR(SEARCH("@",$G464)),ISERROR(SEARCH(".",$G464)))),"Email cá nhân không hợp lệ",""),IF(AND($H464&lt;&gt;"",OR(ISERROR(SEARCH("@",$H464)),ISERROR(SEARCH(".",$H464)))),"Email công ty không hợp lệ",""),IF(AND($I464&lt;&gt;"",OR(LEN($I464)&lt;9,LEN($I464)&gt;15,NOT(ISNUMBER(--$I464)))),"Số điện thoại không hợp lệ","")))</f>
        <v/>
      </c>
      <c r="C464" s="20" t="n"/>
      <c r="D464" s="21" t="n"/>
      <c r="E464" s="22" t="n"/>
      <c r="F464" s="21" t="n"/>
      <c r="G464" s="21" t="n"/>
      <c r="H464" s="21" t="n"/>
      <c r="I464" s="20" t="n"/>
      <c r="J464" s="21" t="n"/>
      <c r="K464" s="21" t="n"/>
    </row>
    <row r="465">
      <c r="A465" s="19">
        <f>IF($C465="","CHƯA NHẬP",IF($B465="","HỢP LỆ","LỖI"))</f>
        <v/>
      </c>
      <c r="B465" s="19">
        <f>IF($C465="","",TEXTJOIN(" | ",TRUE,IF($C465="","Thiếu mã nhân viên",""),IF(COUNTIF($C$6:$C$505,$C465)&gt;1,"Trùng mã nhân viên",""),IF($D465="","Thiếu họ tên",""),IF(AND($E465&lt;&gt;"",OR(NOT(ISNUMBER($E465)),$E465&lt;DATE(1940,1,1),$E465&gt;TODAY())),"Ngày sinh không hợp lệ",""),IF(AND($G465&lt;&gt;"",OR(ISERROR(SEARCH("@",$G465)),ISERROR(SEARCH(".",$G465)))),"Email cá nhân không hợp lệ",""),IF(AND($H465&lt;&gt;"",OR(ISERROR(SEARCH("@",$H465)),ISERROR(SEARCH(".",$H465)))),"Email công ty không hợp lệ",""),IF(AND($I465&lt;&gt;"",OR(LEN($I465)&lt;9,LEN($I465)&gt;15,NOT(ISNUMBER(--$I465)))),"Số điện thoại không hợp lệ","")))</f>
        <v/>
      </c>
      <c r="C465" s="20" t="n"/>
      <c r="D465" s="21" t="n"/>
      <c r="E465" s="22" t="n"/>
      <c r="F465" s="21" t="n"/>
      <c r="G465" s="21" t="n"/>
      <c r="H465" s="21" t="n"/>
      <c r="I465" s="20" t="n"/>
      <c r="J465" s="21" t="n"/>
      <c r="K465" s="21" t="n"/>
    </row>
    <row r="466">
      <c r="A466" s="19">
        <f>IF($C466="","CHƯA NHẬP",IF($B466="","HỢP LỆ","LỖI"))</f>
        <v/>
      </c>
      <c r="B466" s="19">
        <f>IF($C466="","",TEXTJOIN(" | ",TRUE,IF($C466="","Thiếu mã nhân viên",""),IF(COUNTIF($C$6:$C$505,$C466)&gt;1,"Trùng mã nhân viên",""),IF($D466="","Thiếu họ tên",""),IF(AND($E466&lt;&gt;"",OR(NOT(ISNUMBER($E466)),$E466&lt;DATE(1940,1,1),$E466&gt;TODAY())),"Ngày sinh không hợp lệ",""),IF(AND($G466&lt;&gt;"",OR(ISERROR(SEARCH("@",$G466)),ISERROR(SEARCH(".",$G466)))),"Email cá nhân không hợp lệ",""),IF(AND($H466&lt;&gt;"",OR(ISERROR(SEARCH("@",$H466)),ISERROR(SEARCH(".",$H466)))),"Email công ty không hợp lệ",""),IF(AND($I466&lt;&gt;"",OR(LEN($I466)&lt;9,LEN($I466)&gt;15,NOT(ISNUMBER(--$I466)))),"Số điện thoại không hợp lệ","")))</f>
        <v/>
      </c>
      <c r="C466" s="20" t="n"/>
      <c r="D466" s="21" t="n"/>
      <c r="E466" s="22" t="n"/>
      <c r="F466" s="21" t="n"/>
      <c r="G466" s="21" t="n"/>
      <c r="H466" s="21" t="n"/>
      <c r="I466" s="20" t="n"/>
      <c r="J466" s="21" t="n"/>
      <c r="K466" s="21" t="n"/>
    </row>
    <row r="467">
      <c r="A467" s="19">
        <f>IF($C467="","CHƯA NHẬP",IF($B467="","HỢP LỆ","LỖI"))</f>
        <v/>
      </c>
      <c r="B467" s="19">
        <f>IF($C467="","",TEXTJOIN(" | ",TRUE,IF($C467="","Thiếu mã nhân viên",""),IF(COUNTIF($C$6:$C$505,$C467)&gt;1,"Trùng mã nhân viên",""),IF($D467="","Thiếu họ tên",""),IF(AND($E467&lt;&gt;"",OR(NOT(ISNUMBER($E467)),$E467&lt;DATE(1940,1,1),$E467&gt;TODAY())),"Ngày sinh không hợp lệ",""),IF(AND($G467&lt;&gt;"",OR(ISERROR(SEARCH("@",$G467)),ISERROR(SEARCH(".",$G467)))),"Email cá nhân không hợp lệ",""),IF(AND($H467&lt;&gt;"",OR(ISERROR(SEARCH("@",$H467)),ISERROR(SEARCH(".",$H467)))),"Email công ty không hợp lệ",""),IF(AND($I467&lt;&gt;"",OR(LEN($I467)&lt;9,LEN($I467)&gt;15,NOT(ISNUMBER(--$I467)))),"Số điện thoại không hợp lệ","")))</f>
        <v/>
      </c>
      <c r="C467" s="20" t="n"/>
      <c r="D467" s="21" t="n"/>
      <c r="E467" s="22" t="n"/>
      <c r="F467" s="21" t="n"/>
      <c r="G467" s="21" t="n"/>
      <c r="H467" s="21" t="n"/>
      <c r="I467" s="20" t="n"/>
      <c r="J467" s="21" t="n"/>
      <c r="K467" s="21" t="n"/>
    </row>
    <row r="468">
      <c r="A468" s="19">
        <f>IF($C468="","CHƯA NHẬP",IF($B468="","HỢP LỆ","LỖI"))</f>
        <v/>
      </c>
      <c r="B468" s="19">
        <f>IF($C468="","",TEXTJOIN(" | ",TRUE,IF($C468="","Thiếu mã nhân viên",""),IF(COUNTIF($C$6:$C$505,$C468)&gt;1,"Trùng mã nhân viên",""),IF($D468="","Thiếu họ tên",""),IF(AND($E468&lt;&gt;"",OR(NOT(ISNUMBER($E468)),$E468&lt;DATE(1940,1,1),$E468&gt;TODAY())),"Ngày sinh không hợp lệ",""),IF(AND($G468&lt;&gt;"",OR(ISERROR(SEARCH("@",$G468)),ISERROR(SEARCH(".",$G468)))),"Email cá nhân không hợp lệ",""),IF(AND($H468&lt;&gt;"",OR(ISERROR(SEARCH("@",$H468)),ISERROR(SEARCH(".",$H468)))),"Email công ty không hợp lệ",""),IF(AND($I468&lt;&gt;"",OR(LEN($I468)&lt;9,LEN($I468)&gt;15,NOT(ISNUMBER(--$I468)))),"Số điện thoại không hợp lệ","")))</f>
        <v/>
      </c>
      <c r="C468" s="20" t="n"/>
      <c r="D468" s="21" t="n"/>
      <c r="E468" s="22" t="n"/>
      <c r="F468" s="21" t="n"/>
      <c r="G468" s="21" t="n"/>
      <c r="H468" s="21" t="n"/>
      <c r="I468" s="20" t="n"/>
      <c r="J468" s="21" t="n"/>
      <c r="K468" s="21" t="n"/>
    </row>
    <row r="469">
      <c r="A469" s="19">
        <f>IF($C469="","CHƯA NHẬP",IF($B469="","HỢP LỆ","LỖI"))</f>
        <v/>
      </c>
      <c r="B469" s="19">
        <f>IF($C469="","",TEXTJOIN(" | ",TRUE,IF($C469="","Thiếu mã nhân viên",""),IF(COUNTIF($C$6:$C$505,$C469)&gt;1,"Trùng mã nhân viên",""),IF($D469="","Thiếu họ tên",""),IF(AND($E469&lt;&gt;"",OR(NOT(ISNUMBER($E469)),$E469&lt;DATE(1940,1,1),$E469&gt;TODAY())),"Ngày sinh không hợp lệ",""),IF(AND($G469&lt;&gt;"",OR(ISERROR(SEARCH("@",$G469)),ISERROR(SEARCH(".",$G469)))),"Email cá nhân không hợp lệ",""),IF(AND($H469&lt;&gt;"",OR(ISERROR(SEARCH("@",$H469)),ISERROR(SEARCH(".",$H469)))),"Email công ty không hợp lệ",""),IF(AND($I469&lt;&gt;"",OR(LEN($I469)&lt;9,LEN($I469)&gt;15,NOT(ISNUMBER(--$I469)))),"Số điện thoại không hợp lệ","")))</f>
        <v/>
      </c>
      <c r="C469" s="20" t="n"/>
      <c r="D469" s="21" t="n"/>
      <c r="E469" s="22" t="n"/>
      <c r="F469" s="21" t="n"/>
      <c r="G469" s="21" t="n"/>
      <c r="H469" s="21" t="n"/>
      <c r="I469" s="20" t="n"/>
      <c r="J469" s="21" t="n"/>
      <c r="K469" s="21" t="n"/>
    </row>
    <row r="470">
      <c r="A470" s="19">
        <f>IF($C470="","CHƯA NHẬP",IF($B470="","HỢP LỆ","LỖI"))</f>
        <v/>
      </c>
      <c r="B470" s="19">
        <f>IF($C470="","",TEXTJOIN(" | ",TRUE,IF($C470="","Thiếu mã nhân viên",""),IF(COUNTIF($C$6:$C$505,$C470)&gt;1,"Trùng mã nhân viên",""),IF($D470="","Thiếu họ tên",""),IF(AND($E470&lt;&gt;"",OR(NOT(ISNUMBER($E470)),$E470&lt;DATE(1940,1,1),$E470&gt;TODAY())),"Ngày sinh không hợp lệ",""),IF(AND($G470&lt;&gt;"",OR(ISERROR(SEARCH("@",$G470)),ISERROR(SEARCH(".",$G470)))),"Email cá nhân không hợp lệ",""),IF(AND($H470&lt;&gt;"",OR(ISERROR(SEARCH("@",$H470)),ISERROR(SEARCH(".",$H470)))),"Email công ty không hợp lệ",""),IF(AND($I470&lt;&gt;"",OR(LEN($I470)&lt;9,LEN($I470)&gt;15,NOT(ISNUMBER(--$I470)))),"Số điện thoại không hợp lệ","")))</f>
        <v/>
      </c>
      <c r="C470" s="20" t="n"/>
      <c r="D470" s="21" t="n"/>
      <c r="E470" s="22" t="n"/>
      <c r="F470" s="21" t="n"/>
      <c r="G470" s="21" t="n"/>
      <c r="H470" s="21" t="n"/>
      <c r="I470" s="20" t="n"/>
      <c r="J470" s="21" t="n"/>
      <c r="K470" s="21" t="n"/>
    </row>
    <row r="471">
      <c r="A471" s="19">
        <f>IF($C471="","CHƯA NHẬP",IF($B471="","HỢP LỆ","LỖI"))</f>
        <v/>
      </c>
      <c r="B471" s="19">
        <f>IF($C471="","",TEXTJOIN(" | ",TRUE,IF($C471="","Thiếu mã nhân viên",""),IF(COUNTIF($C$6:$C$505,$C471)&gt;1,"Trùng mã nhân viên",""),IF($D471="","Thiếu họ tên",""),IF(AND($E471&lt;&gt;"",OR(NOT(ISNUMBER($E471)),$E471&lt;DATE(1940,1,1),$E471&gt;TODAY())),"Ngày sinh không hợp lệ",""),IF(AND($G471&lt;&gt;"",OR(ISERROR(SEARCH("@",$G471)),ISERROR(SEARCH(".",$G471)))),"Email cá nhân không hợp lệ",""),IF(AND($H471&lt;&gt;"",OR(ISERROR(SEARCH("@",$H471)),ISERROR(SEARCH(".",$H471)))),"Email công ty không hợp lệ",""),IF(AND($I471&lt;&gt;"",OR(LEN($I471)&lt;9,LEN($I471)&gt;15,NOT(ISNUMBER(--$I471)))),"Số điện thoại không hợp lệ","")))</f>
        <v/>
      </c>
      <c r="C471" s="20" t="n"/>
      <c r="D471" s="21" t="n"/>
      <c r="E471" s="22" t="n"/>
      <c r="F471" s="21" t="n"/>
      <c r="G471" s="21" t="n"/>
      <c r="H471" s="21" t="n"/>
      <c r="I471" s="20" t="n"/>
      <c r="J471" s="21" t="n"/>
      <c r="K471" s="21" t="n"/>
    </row>
    <row r="472">
      <c r="A472" s="19">
        <f>IF($C472="","CHƯA NHẬP",IF($B472="","HỢP LỆ","LỖI"))</f>
        <v/>
      </c>
      <c r="B472" s="19">
        <f>IF($C472="","",TEXTJOIN(" | ",TRUE,IF($C472="","Thiếu mã nhân viên",""),IF(COUNTIF($C$6:$C$505,$C472)&gt;1,"Trùng mã nhân viên",""),IF($D472="","Thiếu họ tên",""),IF(AND($E472&lt;&gt;"",OR(NOT(ISNUMBER($E472)),$E472&lt;DATE(1940,1,1),$E472&gt;TODAY())),"Ngày sinh không hợp lệ",""),IF(AND($G472&lt;&gt;"",OR(ISERROR(SEARCH("@",$G472)),ISERROR(SEARCH(".",$G472)))),"Email cá nhân không hợp lệ",""),IF(AND($H472&lt;&gt;"",OR(ISERROR(SEARCH("@",$H472)),ISERROR(SEARCH(".",$H472)))),"Email công ty không hợp lệ",""),IF(AND($I472&lt;&gt;"",OR(LEN($I472)&lt;9,LEN($I472)&gt;15,NOT(ISNUMBER(--$I472)))),"Số điện thoại không hợp lệ","")))</f>
        <v/>
      </c>
      <c r="C472" s="20" t="n"/>
      <c r="D472" s="21" t="n"/>
      <c r="E472" s="22" t="n"/>
      <c r="F472" s="21" t="n"/>
      <c r="G472" s="21" t="n"/>
      <c r="H472" s="21" t="n"/>
      <c r="I472" s="20" t="n"/>
      <c r="J472" s="21" t="n"/>
      <c r="K472" s="21" t="n"/>
    </row>
    <row r="473">
      <c r="A473" s="19">
        <f>IF($C473="","CHƯA NHẬP",IF($B473="","HỢP LỆ","LỖI"))</f>
        <v/>
      </c>
      <c r="B473" s="19">
        <f>IF($C473="","",TEXTJOIN(" | ",TRUE,IF($C473="","Thiếu mã nhân viên",""),IF(COUNTIF($C$6:$C$505,$C473)&gt;1,"Trùng mã nhân viên",""),IF($D473="","Thiếu họ tên",""),IF(AND($E473&lt;&gt;"",OR(NOT(ISNUMBER($E473)),$E473&lt;DATE(1940,1,1),$E473&gt;TODAY())),"Ngày sinh không hợp lệ",""),IF(AND($G473&lt;&gt;"",OR(ISERROR(SEARCH("@",$G473)),ISERROR(SEARCH(".",$G473)))),"Email cá nhân không hợp lệ",""),IF(AND($H473&lt;&gt;"",OR(ISERROR(SEARCH("@",$H473)),ISERROR(SEARCH(".",$H473)))),"Email công ty không hợp lệ",""),IF(AND($I473&lt;&gt;"",OR(LEN($I473)&lt;9,LEN($I473)&gt;15,NOT(ISNUMBER(--$I473)))),"Số điện thoại không hợp lệ","")))</f>
        <v/>
      </c>
      <c r="C473" s="20" t="n"/>
      <c r="D473" s="21" t="n"/>
      <c r="E473" s="22" t="n"/>
      <c r="F473" s="21" t="n"/>
      <c r="G473" s="21" t="n"/>
      <c r="H473" s="21" t="n"/>
      <c r="I473" s="20" t="n"/>
      <c r="J473" s="21" t="n"/>
      <c r="K473" s="21" t="n"/>
    </row>
    <row r="474">
      <c r="A474" s="19">
        <f>IF($C474="","CHƯA NHẬP",IF($B474="","HỢP LỆ","LỖI"))</f>
        <v/>
      </c>
      <c r="B474" s="19">
        <f>IF($C474="","",TEXTJOIN(" | ",TRUE,IF($C474="","Thiếu mã nhân viên",""),IF(COUNTIF($C$6:$C$505,$C474)&gt;1,"Trùng mã nhân viên",""),IF($D474="","Thiếu họ tên",""),IF(AND($E474&lt;&gt;"",OR(NOT(ISNUMBER($E474)),$E474&lt;DATE(1940,1,1),$E474&gt;TODAY())),"Ngày sinh không hợp lệ",""),IF(AND($G474&lt;&gt;"",OR(ISERROR(SEARCH("@",$G474)),ISERROR(SEARCH(".",$G474)))),"Email cá nhân không hợp lệ",""),IF(AND($H474&lt;&gt;"",OR(ISERROR(SEARCH("@",$H474)),ISERROR(SEARCH(".",$H474)))),"Email công ty không hợp lệ",""),IF(AND($I474&lt;&gt;"",OR(LEN($I474)&lt;9,LEN($I474)&gt;15,NOT(ISNUMBER(--$I474)))),"Số điện thoại không hợp lệ","")))</f>
        <v/>
      </c>
      <c r="C474" s="20" t="n"/>
      <c r="D474" s="21" t="n"/>
      <c r="E474" s="22" t="n"/>
      <c r="F474" s="21" t="n"/>
      <c r="G474" s="21" t="n"/>
      <c r="H474" s="21" t="n"/>
      <c r="I474" s="20" t="n"/>
      <c r="J474" s="21" t="n"/>
      <c r="K474" s="21" t="n"/>
    </row>
    <row r="475">
      <c r="A475" s="19">
        <f>IF($C475="","CHƯA NHẬP",IF($B475="","HỢP LỆ","LỖI"))</f>
        <v/>
      </c>
      <c r="B475" s="19">
        <f>IF($C475="","",TEXTJOIN(" | ",TRUE,IF($C475="","Thiếu mã nhân viên",""),IF(COUNTIF($C$6:$C$505,$C475)&gt;1,"Trùng mã nhân viên",""),IF($D475="","Thiếu họ tên",""),IF(AND($E475&lt;&gt;"",OR(NOT(ISNUMBER($E475)),$E475&lt;DATE(1940,1,1),$E475&gt;TODAY())),"Ngày sinh không hợp lệ",""),IF(AND($G475&lt;&gt;"",OR(ISERROR(SEARCH("@",$G475)),ISERROR(SEARCH(".",$G475)))),"Email cá nhân không hợp lệ",""),IF(AND($H475&lt;&gt;"",OR(ISERROR(SEARCH("@",$H475)),ISERROR(SEARCH(".",$H475)))),"Email công ty không hợp lệ",""),IF(AND($I475&lt;&gt;"",OR(LEN($I475)&lt;9,LEN($I475)&gt;15,NOT(ISNUMBER(--$I475)))),"Số điện thoại không hợp lệ","")))</f>
        <v/>
      </c>
      <c r="C475" s="20" t="n"/>
      <c r="D475" s="21" t="n"/>
      <c r="E475" s="22" t="n"/>
      <c r="F475" s="21" t="n"/>
      <c r="G475" s="21" t="n"/>
      <c r="H475" s="21" t="n"/>
      <c r="I475" s="20" t="n"/>
      <c r="J475" s="21" t="n"/>
      <c r="K475" s="21" t="n"/>
    </row>
    <row r="476">
      <c r="A476" s="19">
        <f>IF($C476="","CHƯA NHẬP",IF($B476="","HỢP LỆ","LỖI"))</f>
        <v/>
      </c>
      <c r="B476" s="19">
        <f>IF($C476="","",TEXTJOIN(" | ",TRUE,IF($C476="","Thiếu mã nhân viên",""),IF(COUNTIF($C$6:$C$505,$C476)&gt;1,"Trùng mã nhân viên",""),IF($D476="","Thiếu họ tên",""),IF(AND($E476&lt;&gt;"",OR(NOT(ISNUMBER($E476)),$E476&lt;DATE(1940,1,1),$E476&gt;TODAY())),"Ngày sinh không hợp lệ",""),IF(AND($G476&lt;&gt;"",OR(ISERROR(SEARCH("@",$G476)),ISERROR(SEARCH(".",$G476)))),"Email cá nhân không hợp lệ",""),IF(AND($H476&lt;&gt;"",OR(ISERROR(SEARCH("@",$H476)),ISERROR(SEARCH(".",$H476)))),"Email công ty không hợp lệ",""),IF(AND($I476&lt;&gt;"",OR(LEN($I476)&lt;9,LEN($I476)&gt;15,NOT(ISNUMBER(--$I476)))),"Số điện thoại không hợp lệ","")))</f>
        <v/>
      </c>
      <c r="C476" s="20" t="n"/>
      <c r="D476" s="21" t="n"/>
      <c r="E476" s="22" t="n"/>
      <c r="F476" s="21" t="n"/>
      <c r="G476" s="21" t="n"/>
      <c r="H476" s="21" t="n"/>
      <c r="I476" s="20" t="n"/>
      <c r="J476" s="21" t="n"/>
      <c r="K476" s="21" t="n"/>
    </row>
    <row r="477">
      <c r="A477" s="19">
        <f>IF($C477="","CHƯA NHẬP",IF($B477="","HỢP LỆ","LỖI"))</f>
        <v/>
      </c>
      <c r="B477" s="19">
        <f>IF($C477="","",TEXTJOIN(" | ",TRUE,IF($C477="","Thiếu mã nhân viên",""),IF(COUNTIF($C$6:$C$505,$C477)&gt;1,"Trùng mã nhân viên",""),IF($D477="","Thiếu họ tên",""),IF(AND($E477&lt;&gt;"",OR(NOT(ISNUMBER($E477)),$E477&lt;DATE(1940,1,1),$E477&gt;TODAY())),"Ngày sinh không hợp lệ",""),IF(AND($G477&lt;&gt;"",OR(ISERROR(SEARCH("@",$G477)),ISERROR(SEARCH(".",$G477)))),"Email cá nhân không hợp lệ",""),IF(AND($H477&lt;&gt;"",OR(ISERROR(SEARCH("@",$H477)),ISERROR(SEARCH(".",$H477)))),"Email công ty không hợp lệ",""),IF(AND($I477&lt;&gt;"",OR(LEN($I477)&lt;9,LEN($I477)&gt;15,NOT(ISNUMBER(--$I477)))),"Số điện thoại không hợp lệ","")))</f>
        <v/>
      </c>
      <c r="C477" s="20" t="n"/>
      <c r="D477" s="21" t="n"/>
      <c r="E477" s="22" t="n"/>
      <c r="F477" s="21" t="n"/>
      <c r="G477" s="21" t="n"/>
      <c r="H477" s="21" t="n"/>
      <c r="I477" s="20" t="n"/>
      <c r="J477" s="21" t="n"/>
      <c r="K477" s="21" t="n"/>
    </row>
    <row r="478">
      <c r="A478" s="19">
        <f>IF($C478="","CHƯA NHẬP",IF($B478="","HỢP LỆ","LỖI"))</f>
        <v/>
      </c>
      <c r="B478" s="19">
        <f>IF($C478="","",TEXTJOIN(" | ",TRUE,IF($C478="","Thiếu mã nhân viên",""),IF(COUNTIF($C$6:$C$505,$C478)&gt;1,"Trùng mã nhân viên",""),IF($D478="","Thiếu họ tên",""),IF(AND($E478&lt;&gt;"",OR(NOT(ISNUMBER($E478)),$E478&lt;DATE(1940,1,1),$E478&gt;TODAY())),"Ngày sinh không hợp lệ",""),IF(AND($G478&lt;&gt;"",OR(ISERROR(SEARCH("@",$G478)),ISERROR(SEARCH(".",$G478)))),"Email cá nhân không hợp lệ",""),IF(AND($H478&lt;&gt;"",OR(ISERROR(SEARCH("@",$H478)),ISERROR(SEARCH(".",$H478)))),"Email công ty không hợp lệ",""),IF(AND($I478&lt;&gt;"",OR(LEN($I478)&lt;9,LEN($I478)&gt;15,NOT(ISNUMBER(--$I478)))),"Số điện thoại không hợp lệ","")))</f>
        <v/>
      </c>
      <c r="C478" s="20" t="n"/>
      <c r="D478" s="21" t="n"/>
      <c r="E478" s="22" t="n"/>
      <c r="F478" s="21" t="n"/>
      <c r="G478" s="21" t="n"/>
      <c r="H478" s="21" t="n"/>
      <c r="I478" s="20" t="n"/>
      <c r="J478" s="21" t="n"/>
      <c r="K478" s="21" t="n"/>
    </row>
    <row r="479">
      <c r="A479" s="19">
        <f>IF($C479="","CHƯA NHẬP",IF($B479="","HỢP LỆ","LỖI"))</f>
        <v/>
      </c>
      <c r="B479" s="19">
        <f>IF($C479="","",TEXTJOIN(" | ",TRUE,IF($C479="","Thiếu mã nhân viên",""),IF(COUNTIF($C$6:$C$505,$C479)&gt;1,"Trùng mã nhân viên",""),IF($D479="","Thiếu họ tên",""),IF(AND($E479&lt;&gt;"",OR(NOT(ISNUMBER($E479)),$E479&lt;DATE(1940,1,1),$E479&gt;TODAY())),"Ngày sinh không hợp lệ",""),IF(AND($G479&lt;&gt;"",OR(ISERROR(SEARCH("@",$G479)),ISERROR(SEARCH(".",$G479)))),"Email cá nhân không hợp lệ",""),IF(AND($H479&lt;&gt;"",OR(ISERROR(SEARCH("@",$H479)),ISERROR(SEARCH(".",$H479)))),"Email công ty không hợp lệ",""),IF(AND($I479&lt;&gt;"",OR(LEN($I479)&lt;9,LEN($I479)&gt;15,NOT(ISNUMBER(--$I479)))),"Số điện thoại không hợp lệ","")))</f>
        <v/>
      </c>
      <c r="C479" s="20" t="n"/>
      <c r="D479" s="21" t="n"/>
      <c r="E479" s="22" t="n"/>
      <c r="F479" s="21" t="n"/>
      <c r="G479" s="21" t="n"/>
      <c r="H479" s="21" t="n"/>
      <c r="I479" s="20" t="n"/>
      <c r="J479" s="21" t="n"/>
      <c r="K479" s="21" t="n"/>
    </row>
    <row r="480">
      <c r="A480" s="19">
        <f>IF($C480="","CHƯA NHẬP",IF($B480="","HỢP LỆ","LỖI"))</f>
        <v/>
      </c>
      <c r="B480" s="19">
        <f>IF($C480="","",TEXTJOIN(" | ",TRUE,IF($C480="","Thiếu mã nhân viên",""),IF(COUNTIF($C$6:$C$505,$C480)&gt;1,"Trùng mã nhân viên",""),IF($D480="","Thiếu họ tên",""),IF(AND($E480&lt;&gt;"",OR(NOT(ISNUMBER($E480)),$E480&lt;DATE(1940,1,1),$E480&gt;TODAY())),"Ngày sinh không hợp lệ",""),IF(AND($G480&lt;&gt;"",OR(ISERROR(SEARCH("@",$G480)),ISERROR(SEARCH(".",$G480)))),"Email cá nhân không hợp lệ",""),IF(AND($H480&lt;&gt;"",OR(ISERROR(SEARCH("@",$H480)),ISERROR(SEARCH(".",$H480)))),"Email công ty không hợp lệ",""),IF(AND($I480&lt;&gt;"",OR(LEN($I480)&lt;9,LEN($I480)&gt;15,NOT(ISNUMBER(--$I480)))),"Số điện thoại không hợp lệ","")))</f>
        <v/>
      </c>
      <c r="C480" s="20" t="n"/>
      <c r="D480" s="21" t="n"/>
      <c r="E480" s="22" t="n"/>
      <c r="F480" s="21" t="n"/>
      <c r="G480" s="21" t="n"/>
      <c r="H480" s="21" t="n"/>
      <c r="I480" s="20" t="n"/>
      <c r="J480" s="21" t="n"/>
      <c r="K480" s="21" t="n"/>
    </row>
    <row r="481">
      <c r="A481" s="19">
        <f>IF($C481="","CHƯA NHẬP",IF($B481="","HỢP LỆ","LỖI"))</f>
        <v/>
      </c>
      <c r="B481" s="19">
        <f>IF($C481="","",TEXTJOIN(" | ",TRUE,IF($C481="","Thiếu mã nhân viên",""),IF(COUNTIF($C$6:$C$505,$C481)&gt;1,"Trùng mã nhân viên",""),IF($D481="","Thiếu họ tên",""),IF(AND($E481&lt;&gt;"",OR(NOT(ISNUMBER($E481)),$E481&lt;DATE(1940,1,1),$E481&gt;TODAY())),"Ngày sinh không hợp lệ",""),IF(AND($G481&lt;&gt;"",OR(ISERROR(SEARCH("@",$G481)),ISERROR(SEARCH(".",$G481)))),"Email cá nhân không hợp lệ",""),IF(AND($H481&lt;&gt;"",OR(ISERROR(SEARCH("@",$H481)),ISERROR(SEARCH(".",$H481)))),"Email công ty không hợp lệ",""),IF(AND($I481&lt;&gt;"",OR(LEN($I481)&lt;9,LEN($I481)&gt;15,NOT(ISNUMBER(--$I481)))),"Số điện thoại không hợp lệ","")))</f>
        <v/>
      </c>
      <c r="C481" s="20" t="n"/>
      <c r="D481" s="21" t="n"/>
      <c r="E481" s="22" t="n"/>
      <c r="F481" s="21" t="n"/>
      <c r="G481" s="21" t="n"/>
      <c r="H481" s="21" t="n"/>
      <c r="I481" s="20" t="n"/>
      <c r="J481" s="21" t="n"/>
      <c r="K481" s="21" t="n"/>
    </row>
    <row r="482">
      <c r="A482" s="19">
        <f>IF($C482="","CHƯA NHẬP",IF($B482="","HỢP LỆ","LỖI"))</f>
        <v/>
      </c>
      <c r="B482" s="19">
        <f>IF($C482="","",TEXTJOIN(" | ",TRUE,IF($C482="","Thiếu mã nhân viên",""),IF(COUNTIF($C$6:$C$505,$C482)&gt;1,"Trùng mã nhân viên",""),IF($D482="","Thiếu họ tên",""),IF(AND($E482&lt;&gt;"",OR(NOT(ISNUMBER($E482)),$E482&lt;DATE(1940,1,1),$E482&gt;TODAY())),"Ngày sinh không hợp lệ",""),IF(AND($G482&lt;&gt;"",OR(ISERROR(SEARCH("@",$G482)),ISERROR(SEARCH(".",$G482)))),"Email cá nhân không hợp lệ",""),IF(AND($H482&lt;&gt;"",OR(ISERROR(SEARCH("@",$H482)),ISERROR(SEARCH(".",$H482)))),"Email công ty không hợp lệ",""),IF(AND($I482&lt;&gt;"",OR(LEN($I482)&lt;9,LEN($I482)&gt;15,NOT(ISNUMBER(--$I482)))),"Số điện thoại không hợp lệ","")))</f>
        <v/>
      </c>
      <c r="C482" s="20" t="n"/>
      <c r="D482" s="21" t="n"/>
      <c r="E482" s="22" t="n"/>
      <c r="F482" s="21" t="n"/>
      <c r="G482" s="21" t="n"/>
      <c r="H482" s="21" t="n"/>
      <c r="I482" s="20" t="n"/>
      <c r="J482" s="21" t="n"/>
      <c r="K482" s="21" t="n"/>
    </row>
    <row r="483">
      <c r="A483" s="19">
        <f>IF($C483="","CHƯA NHẬP",IF($B483="","HỢP LỆ","LỖI"))</f>
        <v/>
      </c>
      <c r="B483" s="19">
        <f>IF($C483="","",TEXTJOIN(" | ",TRUE,IF($C483="","Thiếu mã nhân viên",""),IF(COUNTIF($C$6:$C$505,$C483)&gt;1,"Trùng mã nhân viên",""),IF($D483="","Thiếu họ tên",""),IF(AND($E483&lt;&gt;"",OR(NOT(ISNUMBER($E483)),$E483&lt;DATE(1940,1,1),$E483&gt;TODAY())),"Ngày sinh không hợp lệ",""),IF(AND($G483&lt;&gt;"",OR(ISERROR(SEARCH("@",$G483)),ISERROR(SEARCH(".",$G483)))),"Email cá nhân không hợp lệ",""),IF(AND($H483&lt;&gt;"",OR(ISERROR(SEARCH("@",$H483)),ISERROR(SEARCH(".",$H483)))),"Email công ty không hợp lệ",""),IF(AND($I483&lt;&gt;"",OR(LEN($I483)&lt;9,LEN($I483)&gt;15,NOT(ISNUMBER(--$I483)))),"Số điện thoại không hợp lệ","")))</f>
        <v/>
      </c>
      <c r="C483" s="20" t="n"/>
      <c r="D483" s="21" t="n"/>
      <c r="E483" s="22" t="n"/>
      <c r="F483" s="21" t="n"/>
      <c r="G483" s="21" t="n"/>
      <c r="H483" s="21" t="n"/>
      <c r="I483" s="20" t="n"/>
      <c r="J483" s="21" t="n"/>
      <c r="K483" s="21" t="n"/>
    </row>
    <row r="484">
      <c r="A484" s="19">
        <f>IF($C484="","CHƯA NHẬP",IF($B484="","HỢP LỆ","LỖI"))</f>
        <v/>
      </c>
      <c r="B484" s="19">
        <f>IF($C484="","",TEXTJOIN(" | ",TRUE,IF($C484="","Thiếu mã nhân viên",""),IF(COUNTIF($C$6:$C$505,$C484)&gt;1,"Trùng mã nhân viên",""),IF($D484="","Thiếu họ tên",""),IF(AND($E484&lt;&gt;"",OR(NOT(ISNUMBER($E484)),$E484&lt;DATE(1940,1,1),$E484&gt;TODAY())),"Ngày sinh không hợp lệ",""),IF(AND($G484&lt;&gt;"",OR(ISERROR(SEARCH("@",$G484)),ISERROR(SEARCH(".",$G484)))),"Email cá nhân không hợp lệ",""),IF(AND($H484&lt;&gt;"",OR(ISERROR(SEARCH("@",$H484)),ISERROR(SEARCH(".",$H484)))),"Email công ty không hợp lệ",""),IF(AND($I484&lt;&gt;"",OR(LEN($I484)&lt;9,LEN($I484)&gt;15,NOT(ISNUMBER(--$I484)))),"Số điện thoại không hợp lệ","")))</f>
        <v/>
      </c>
      <c r="C484" s="20" t="n"/>
      <c r="D484" s="21" t="n"/>
      <c r="E484" s="22" t="n"/>
      <c r="F484" s="21" t="n"/>
      <c r="G484" s="21" t="n"/>
      <c r="H484" s="21" t="n"/>
      <c r="I484" s="20" t="n"/>
      <c r="J484" s="21" t="n"/>
      <c r="K484" s="21" t="n"/>
    </row>
    <row r="485">
      <c r="A485" s="19">
        <f>IF($C485="","CHƯA NHẬP",IF($B485="","HỢP LỆ","LỖI"))</f>
        <v/>
      </c>
      <c r="B485" s="19">
        <f>IF($C485="","",TEXTJOIN(" | ",TRUE,IF($C485="","Thiếu mã nhân viên",""),IF(COUNTIF($C$6:$C$505,$C485)&gt;1,"Trùng mã nhân viên",""),IF($D485="","Thiếu họ tên",""),IF(AND($E485&lt;&gt;"",OR(NOT(ISNUMBER($E485)),$E485&lt;DATE(1940,1,1),$E485&gt;TODAY())),"Ngày sinh không hợp lệ",""),IF(AND($G485&lt;&gt;"",OR(ISERROR(SEARCH("@",$G485)),ISERROR(SEARCH(".",$G485)))),"Email cá nhân không hợp lệ",""),IF(AND($H485&lt;&gt;"",OR(ISERROR(SEARCH("@",$H485)),ISERROR(SEARCH(".",$H485)))),"Email công ty không hợp lệ",""),IF(AND($I485&lt;&gt;"",OR(LEN($I485)&lt;9,LEN($I485)&gt;15,NOT(ISNUMBER(--$I485)))),"Số điện thoại không hợp lệ","")))</f>
        <v/>
      </c>
      <c r="C485" s="20" t="n"/>
      <c r="D485" s="21" t="n"/>
      <c r="E485" s="22" t="n"/>
      <c r="F485" s="21" t="n"/>
      <c r="G485" s="21" t="n"/>
      <c r="H485" s="21" t="n"/>
      <c r="I485" s="20" t="n"/>
      <c r="J485" s="21" t="n"/>
      <c r="K485" s="21" t="n"/>
    </row>
    <row r="486">
      <c r="A486" s="19">
        <f>IF($C486="","CHƯA NHẬP",IF($B486="","HỢP LỆ","LỖI"))</f>
        <v/>
      </c>
      <c r="B486" s="19">
        <f>IF($C486="","",TEXTJOIN(" | ",TRUE,IF($C486="","Thiếu mã nhân viên",""),IF(COUNTIF($C$6:$C$505,$C486)&gt;1,"Trùng mã nhân viên",""),IF($D486="","Thiếu họ tên",""),IF(AND($E486&lt;&gt;"",OR(NOT(ISNUMBER($E486)),$E486&lt;DATE(1940,1,1),$E486&gt;TODAY())),"Ngày sinh không hợp lệ",""),IF(AND($G486&lt;&gt;"",OR(ISERROR(SEARCH("@",$G486)),ISERROR(SEARCH(".",$G486)))),"Email cá nhân không hợp lệ",""),IF(AND($H486&lt;&gt;"",OR(ISERROR(SEARCH("@",$H486)),ISERROR(SEARCH(".",$H486)))),"Email công ty không hợp lệ",""),IF(AND($I486&lt;&gt;"",OR(LEN($I486)&lt;9,LEN($I486)&gt;15,NOT(ISNUMBER(--$I486)))),"Số điện thoại không hợp lệ","")))</f>
        <v/>
      </c>
      <c r="C486" s="20" t="n"/>
      <c r="D486" s="21" t="n"/>
      <c r="E486" s="22" t="n"/>
      <c r="F486" s="21" t="n"/>
      <c r="G486" s="21" t="n"/>
      <c r="H486" s="21" t="n"/>
      <c r="I486" s="20" t="n"/>
      <c r="J486" s="21" t="n"/>
      <c r="K486" s="21" t="n"/>
    </row>
    <row r="487">
      <c r="A487" s="19">
        <f>IF($C487="","CHƯA NHẬP",IF($B487="","HỢP LỆ","LỖI"))</f>
        <v/>
      </c>
      <c r="B487" s="19">
        <f>IF($C487="","",TEXTJOIN(" | ",TRUE,IF($C487="","Thiếu mã nhân viên",""),IF(COUNTIF($C$6:$C$505,$C487)&gt;1,"Trùng mã nhân viên",""),IF($D487="","Thiếu họ tên",""),IF(AND($E487&lt;&gt;"",OR(NOT(ISNUMBER($E487)),$E487&lt;DATE(1940,1,1),$E487&gt;TODAY())),"Ngày sinh không hợp lệ",""),IF(AND($G487&lt;&gt;"",OR(ISERROR(SEARCH("@",$G487)),ISERROR(SEARCH(".",$G487)))),"Email cá nhân không hợp lệ",""),IF(AND($H487&lt;&gt;"",OR(ISERROR(SEARCH("@",$H487)),ISERROR(SEARCH(".",$H487)))),"Email công ty không hợp lệ",""),IF(AND($I487&lt;&gt;"",OR(LEN($I487)&lt;9,LEN($I487)&gt;15,NOT(ISNUMBER(--$I487)))),"Số điện thoại không hợp lệ","")))</f>
        <v/>
      </c>
      <c r="C487" s="20" t="n"/>
      <c r="D487" s="21" t="n"/>
      <c r="E487" s="22" t="n"/>
      <c r="F487" s="21" t="n"/>
      <c r="G487" s="21" t="n"/>
      <c r="H487" s="21" t="n"/>
      <c r="I487" s="20" t="n"/>
      <c r="J487" s="21" t="n"/>
      <c r="K487" s="21" t="n"/>
    </row>
    <row r="488">
      <c r="A488" s="19">
        <f>IF($C488="","CHƯA NHẬP",IF($B488="","HỢP LỆ","LỖI"))</f>
        <v/>
      </c>
      <c r="B488" s="19">
        <f>IF($C488="","",TEXTJOIN(" | ",TRUE,IF($C488="","Thiếu mã nhân viên",""),IF(COUNTIF($C$6:$C$505,$C488)&gt;1,"Trùng mã nhân viên",""),IF($D488="","Thiếu họ tên",""),IF(AND($E488&lt;&gt;"",OR(NOT(ISNUMBER($E488)),$E488&lt;DATE(1940,1,1),$E488&gt;TODAY())),"Ngày sinh không hợp lệ",""),IF(AND($G488&lt;&gt;"",OR(ISERROR(SEARCH("@",$G488)),ISERROR(SEARCH(".",$G488)))),"Email cá nhân không hợp lệ",""),IF(AND($H488&lt;&gt;"",OR(ISERROR(SEARCH("@",$H488)),ISERROR(SEARCH(".",$H488)))),"Email công ty không hợp lệ",""),IF(AND($I488&lt;&gt;"",OR(LEN($I488)&lt;9,LEN($I488)&gt;15,NOT(ISNUMBER(--$I488)))),"Số điện thoại không hợp lệ","")))</f>
        <v/>
      </c>
      <c r="C488" s="20" t="n"/>
      <c r="D488" s="21" t="n"/>
      <c r="E488" s="22" t="n"/>
      <c r="F488" s="21" t="n"/>
      <c r="G488" s="21" t="n"/>
      <c r="H488" s="21" t="n"/>
      <c r="I488" s="20" t="n"/>
      <c r="J488" s="21" t="n"/>
      <c r="K488" s="21" t="n"/>
    </row>
    <row r="489">
      <c r="A489" s="19">
        <f>IF($C489="","CHƯA NHẬP",IF($B489="","HỢP LỆ","LỖI"))</f>
        <v/>
      </c>
      <c r="B489" s="19">
        <f>IF($C489="","",TEXTJOIN(" | ",TRUE,IF($C489="","Thiếu mã nhân viên",""),IF(COUNTIF($C$6:$C$505,$C489)&gt;1,"Trùng mã nhân viên",""),IF($D489="","Thiếu họ tên",""),IF(AND($E489&lt;&gt;"",OR(NOT(ISNUMBER($E489)),$E489&lt;DATE(1940,1,1),$E489&gt;TODAY())),"Ngày sinh không hợp lệ",""),IF(AND($G489&lt;&gt;"",OR(ISERROR(SEARCH("@",$G489)),ISERROR(SEARCH(".",$G489)))),"Email cá nhân không hợp lệ",""),IF(AND($H489&lt;&gt;"",OR(ISERROR(SEARCH("@",$H489)),ISERROR(SEARCH(".",$H489)))),"Email công ty không hợp lệ",""),IF(AND($I489&lt;&gt;"",OR(LEN($I489)&lt;9,LEN($I489)&gt;15,NOT(ISNUMBER(--$I489)))),"Số điện thoại không hợp lệ","")))</f>
        <v/>
      </c>
      <c r="C489" s="20" t="n"/>
      <c r="D489" s="21" t="n"/>
      <c r="E489" s="22" t="n"/>
      <c r="F489" s="21" t="n"/>
      <c r="G489" s="21" t="n"/>
      <c r="H489" s="21" t="n"/>
      <c r="I489" s="20" t="n"/>
      <c r="J489" s="21" t="n"/>
      <c r="K489" s="21" t="n"/>
    </row>
    <row r="490">
      <c r="A490" s="19">
        <f>IF($C490="","CHƯA NHẬP",IF($B490="","HỢP LỆ","LỖI"))</f>
        <v/>
      </c>
      <c r="B490" s="19">
        <f>IF($C490="","",TEXTJOIN(" | ",TRUE,IF($C490="","Thiếu mã nhân viên",""),IF(COUNTIF($C$6:$C$505,$C490)&gt;1,"Trùng mã nhân viên",""),IF($D490="","Thiếu họ tên",""),IF(AND($E490&lt;&gt;"",OR(NOT(ISNUMBER($E490)),$E490&lt;DATE(1940,1,1),$E490&gt;TODAY())),"Ngày sinh không hợp lệ",""),IF(AND($G490&lt;&gt;"",OR(ISERROR(SEARCH("@",$G490)),ISERROR(SEARCH(".",$G490)))),"Email cá nhân không hợp lệ",""),IF(AND($H490&lt;&gt;"",OR(ISERROR(SEARCH("@",$H490)),ISERROR(SEARCH(".",$H490)))),"Email công ty không hợp lệ",""),IF(AND($I490&lt;&gt;"",OR(LEN($I490)&lt;9,LEN($I490)&gt;15,NOT(ISNUMBER(--$I490)))),"Số điện thoại không hợp lệ","")))</f>
        <v/>
      </c>
      <c r="C490" s="20" t="n"/>
      <c r="D490" s="21" t="n"/>
      <c r="E490" s="22" t="n"/>
      <c r="F490" s="21" t="n"/>
      <c r="G490" s="21" t="n"/>
      <c r="H490" s="21" t="n"/>
      <c r="I490" s="20" t="n"/>
      <c r="J490" s="21" t="n"/>
      <c r="K490" s="21" t="n"/>
    </row>
    <row r="491">
      <c r="A491" s="19">
        <f>IF($C491="","CHƯA NHẬP",IF($B491="","HỢP LỆ","LỖI"))</f>
        <v/>
      </c>
      <c r="B491" s="19">
        <f>IF($C491="","",TEXTJOIN(" | ",TRUE,IF($C491="","Thiếu mã nhân viên",""),IF(COUNTIF($C$6:$C$505,$C491)&gt;1,"Trùng mã nhân viên",""),IF($D491="","Thiếu họ tên",""),IF(AND($E491&lt;&gt;"",OR(NOT(ISNUMBER($E491)),$E491&lt;DATE(1940,1,1),$E491&gt;TODAY())),"Ngày sinh không hợp lệ",""),IF(AND($G491&lt;&gt;"",OR(ISERROR(SEARCH("@",$G491)),ISERROR(SEARCH(".",$G491)))),"Email cá nhân không hợp lệ",""),IF(AND($H491&lt;&gt;"",OR(ISERROR(SEARCH("@",$H491)),ISERROR(SEARCH(".",$H491)))),"Email công ty không hợp lệ",""),IF(AND($I491&lt;&gt;"",OR(LEN($I491)&lt;9,LEN($I491)&gt;15,NOT(ISNUMBER(--$I491)))),"Số điện thoại không hợp lệ","")))</f>
        <v/>
      </c>
      <c r="C491" s="20" t="n"/>
      <c r="D491" s="21" t="n"/>
      <c r="E491" s="22" t="n"/>
      <c r="F491" s="21" t="n"/>
      <c r="G491" s="21" t="n"/>
      <c r="H491" s="21" t="n"/>
      <c r="I491" s="20" t="n"/>
      <c r="J491" s="21" t="n"/>
      <c r="K491" s="21" t="n"/>
    </row>
    <row r="492">
      <c r="A492" s="19">
        <f>IF($C492="","CHƯA NHẬP",IF($B492="","HỢP LỆ","LỖI"))</f>
        <v/>
      </c>
      <c r="B492" s="19">
        <f>IF($C492="","",TEXTJOIN(" | ",TRUE,IF($C492="","Thiếu mã nhân viên",""),IF(COUNTIF($C$6:$C$505,$C492)&gt;1,"Trùng mã nhân viên",""),IF($D492="","Thiếu họ tên",""),IF(AND($E492&lt;&gt;"",OR(NOT(ISNUMBER($E492)),$E492&lt;DATE(1940,1,1),$E492&gt;TODAY())),"Ngày sinh không hợp lệ",""),IF(AND($G492&lt;&gt;"",OR(ISERROR(SEARCH("@",$G492)),ISERROR(SEARCH(".",$G492)))),"Email cá nhân không hợp lệ",""),IF(AND($H492&lt;&gt;"",OR(ISERROR(SEARCH("@",$H492)),ISERROR(SEARCH(".",$H492)))),"Email công ty không hợp lệ",""),IF(AND($I492&lt;&gt;"",OR(LEN($I492)&lt;9,LEN($I492)&gt;15,NOT(ISNUMBER(--$I492)))),"Số điện thoại không hợp lệ","")))</f>
        <v/>
      </c>
      <c r="C492" s="20" t="n"/>
      <c r="D492" s="21" t="n"/>
      <c r="E492" s="22" t="n"/>
      <c r="F492" s="21" t="n"/>
      <c r="G492" s="21" t="n"/>
      <c r="H492" s="21" t="n"/>
      <c r="I492" s="20" t="n"/>
      <c r="J492" s="21" t="n"/>
      <c r="K492" s="21" t="n"/>
    </row>
    <row r="493">
      <c r="A493" s="19">
        <f>IF($C493="","CHƯA NHẬP",IF($B493="","HỢP LỆ","LỖI"))</f>
        <v/>
      </c>
      <c r="B493" s="19">
        <f>IF($C493="","",TEXTJOIN(" | ",TRUE,IF($C493="","Thiếu mã nhân viên",""),IF(COUNTIF($C$6:$C$505,$C493)&gt;1,"Trùng mã nhân viên",""),IF($D493="","Thiếu họ tên",""),IF(AND($E493&lt;&gt;"",OR(NOT(ISNUMBER($E493)),$E493&lt;DATE(1940,1,1),$E493&gt;TODAY())),"Ngày sinh không hợp lệ",""),IF(AND($G493&lt;&gt;"",OR(ISERROR(SEARCH("@",$G493)),ISERROR(SEARCH(".",$G493)))),"Email cá nhân không hợp lệ",""),IF(AND($H493&lt;&gt;"",OR(ISERROR(SEARCH("@",$H493)),ISERROR(SEARCH(".",$H493)))),"Email công ty không hợp lệ",""),IF(AND($I493&lt;&gt;"",OR(LEN($I493)&lt;9,LEN($I493)&gt;15,NOT(ISNUMBER(--$I493)))),"Số điện thoại không hợp lệ","")))</f>
        <v/>
      </c>
      <c r="C493" s="20" t="n"/>
      <c r="D493" s="21" t="n"/>
      <c r="E493" s="22" t="n"/>
      <c r="F493" s="21" t="n"/>
      <c r="G493" s="21" t="n"/>
      <c r="H493" s="21" t="n"/>
      <c r="I493" s="20" t="n"/>
      <c r="J493" s="21" t="n"/>
      <c r="K493" s="21" t="n"/>
    </row>
    <row r="494">
      <c r="A494" s="19">
        <f>IF($C494="","CHƯA NHẬP",IF($B494="","HỢP LỆ","LỖI"))</f>
        <v/>
      </c>
      <c r="B494" s="19">
        <f>IF($C494="","",TEXTJOIN(" | ",TRUE,IF($C494="","Thiếu mã nhân viên",""),IF(COUNTIF($C$6:$C$505,$C494)&gt;1,"Trùng mã nhân viên",""),IF($D494="","Thiếu họ tên",""),IF(AND($E494&lt;&gt;"",OR(NOT(ISNUMBER($E494)),$E494&lt;DATE(1940,1,1),$E494&gt;TODAY())),"Ngày sinh không hợp lệ",""),IF(AND($G494&lt;&gt;"",OR(ISERROR(SEARCH("@",$G494)),ISERROR(SEARCH(".",$G494)))),"Email cá nhân không hợp lệ",""),IF(AND($H494&lt;&gt;"",OR(ISERROR(SEARCH("@",$H494)),ISERROR(SEARCH(".",$H494)))),"Email công ty không hợp lệ",""),IF(AND($I494&lt;&gt;"",OR(LEN($I494)&lt;9,LEN($I494)&gt;15,NOT(ISNUMBER(--$I494)))),"Số điện thoại không hợp lệ","")))</f>
        <v/>
      </c>
      <c r="C494" s="20" t="n"/>
      <c r="D494" s="21" t="n"/>
      <c r="E494" s="22" t="n"/>
      <c r="F494" s="21" t="n"/>
      <c r="G494" s="21" t="n"/>
      <c r="H494" s="21" t="n"/>
      <c r="I494" s="20" t="n"/>
      <c r="J494" s="21" t="n"/>
      <c r="K494" s="21" t="n"/>
    </row>
    <row r="495">
      <c r="A495" s="19">
        <f>IF($C495="","CHƯA NHẬP",IF($B495="","HỢP LỆ","LỖI"))</f>
        <v/>
      </c>
      <c r="B495" s="19">
        <f>IF($C495="","",TEXTJOIN(" | ",TRUE,IF($C495="","Thiếu mã nhân viên",""),IF(COUNTIF($C$6:$C$505,$C495)&gt;1,"Trùng mã nhân viên",""),IF($D495="","Thiếu họ tên",""),IF(AND($E495&lt;&gt;"",OR(NOT(ISNUMBER($E495)),$E495&lt;DATE(1940,1,1),$E495&gt;TODAY())),"Ngày sinh không hợp lệ",""),IF(AND($G495&lt;&gt;"",OR(ISERROR(SEARCH("@",$G495)),ISERROR(SEARCH(".",$G495)))),"Email cá nhân không hợp lệ",""),IF(AND($H495&lt;&gt;"",OR(ISERROR(SEARCH("@",$H495)),ISERROR(SEARCH(".",$H495)))),"Email công ty không hợp lệ",""),IF(AND($I495&lt;&gt;"",OR(LEN($I495)&lt;9,LEN($I495)&gt;15,NOT(ISNUMBER(--$I495)))),"Số điện thoại không hợp lệ","")))</f>
        <v/>
      </c>
      <c r="C495" s="20" t="n"/>
      <c r="D495" s="21" t="n"/>
      <c r="E495" s="22" t="n"/>
      <c r="F495" s="21" t="n"/>
      <c r="G495" s="21" t="n"/>
      <c r="H495" s="21" t="n"/>
      <c r="I495" s="20" t="n"/>
      <c r="J495" s="21" t="n"/>
      <c r="K495" s="21" t="n"/>
    </row>
    <row r="496">
      <c r="A496" s="19">
        <f>IF($C496="","CHƯA NHẬP",IF($B496="","HỢP LỆ","LỖI"))</f>
        <v/>
      </c>
      <c r="B496" s="19">
        <f>IF($C496="","",TEXTJOIN(" | ",TRUE,IF($C496="","Thiếu mã nhân viên",""),IF(COUNTIF($C$6:$C$505,$C496)&gt;1,"Trùng mã nhân viên",""),IF($D496="","Thiếu họ tên",""),IF(AND($E496&lt;&gt;"",OR(NOT(ISNUMBER($E496)),$E496&lt;DATE(1940,1,1),$E496&gt;TODAY())),"Ngày sinh không hợp lệ",""),IF(AND($G496&lt;&gt;"",OR(ISERROR(SEARCH("@",$G496)),ISERROR(SEARCH(".",$G496)))),"Email cá nhân không hợp lệ",""),IF(AND($H496&lt;&gt;"",OR(ISERROR(SEARCH("@",$H496)),ISERROR(SEARCH(".",$H496)))),"Email công ty không hợp lệ",""),IF(AND($I496&lt;&gt;"",OR(LEN($I496)&lt;9,LEN($I496)&gt;15,NOT(ISNUMBER(--$I496)))),"Số điện thoại không hợp lệ","")))</f>
        <v/>
      </c>
      <c r="C496" s="20" t="n"/>
      <c r="D496" s="21" t="n"/>
      <c r="E496" s="22" t="n"/>
      <c r="F496" s="21" t="n"/>
      <c r="G496" s="21" t="n"/>
      <c r="H496" s="21" t="n"/>
      <c r="I496" s="20" t="n"/>
      <c r="J496" s="21" t="n"/>
      <c r="K496" s="21" t="n"/>
    </row>
    <row r="497">
      <c r="A497" s="19">
        <f>IF($C497="","CHƯA NHẬP",IF($B497="","HỢP LỆ","LỖI"))</f>
        <v/>
      </c>
      <c r="B497" s="19">
        <f>IF($C497="","",TEXTJOIN(" | ",TRUE,IF($C497="","Thiếu mã nhân viên",""),IF(COUNTIF($C$6:$C$505,$C497)&gt;1,"Trùng mã nhân viên",""),IF($D497="","Thiếu họ tên",""),IF(AND($E497&lt;&gt;"",OR(NOT(ISNUMBER($E497)),$E497&lt;DATE(1940,1,1),$E497&gt;TODAY())),"Ngày sinh không hợp lệ",""),IF(AND($G497&lt;&gt;"",OR(ISERROR(SEARCH("@",$G497)),ISERROR(SEARCH(".",$G497)))),"Email cá nhân không hợp lệ",""),IF(AND($H497&lt;&gt;"",OR(ISERROR(SEARCH("@",$H497)),ISERROR(SEARCH(".",$H497)))),"Email công ty không hợp lệ",""),IF(AND($I497&lt;&gt;"",OR(LEN($I497)&lt;9,LEN($I497)&gt;15,NOT(ISNUMBER(--$I497)))),"Số điện thoại không hợp lệ","")))</f>
        <v/>
      </c>
      <c r="C497" s="20" t="n"/>
      <c r="D497" s="21" t="n"/>
      <c r="E497" s="22" t="n"/>
      <c r="F497" s="21" t="n"/>
      <c r="G497" s="21" t="n"/>
      <c r="H497" s="21" t="n"/>
      <c r="I497" s="20" t="n"/>
      <c r="J497" s="21" t="n"/>
      <c r="K497" s="21" t="n"/>
    </row>
    <row r="498">
      <c r="A498" s="19">
        <f>IF($C498="","CHƯA NHẬP",IF($B498="","HỢP LỆ","LỖI"))</f>
        <v/>
      </c>
      <c r="B498" s="19">
        <f>IF($C498="","",TEXTJOIN(" | ",TRUE,IF($C498="","Thiếu mã nhân viên",""),IF(COUNTIF($C$6:$C$505,$C498)&gt;1,"Trùng mã nhân viên",""),IF($D498="","Thiếu họ tên",""),IF(AND($E498&lt;&gt;"",OR(NOT(ISNUMBER($E498)),$E498&lt;DATE(1940,1,1),$E498&gt;TODAY())),"Ngày sinh không hợp lệ",""),IF(AND($G498&lt;&gt;"",OR(ISERROR(SEARCH("@",$G498)),ISERROR(SEARCH(".",$G498)))),"Email cá nhân không hợp lệ",""),IF(AND($H498&lt;&gt;"",OR(ISERROR(SEARCH("@",$H498)),ISERROR(SEARCH(".",$H498)))),"Email công ty không hợp lệ",""),IF(AND($I498&lt;&gt;"",OR(LEN($I498)&lt;9,LEN($I498)&gt;15,NOT(ISNUMBER(--$I498)))),"Số điện thoại không hợp lệ","")))</f>
        <v/>
      </c>
      <c r="C498" s="20" t="n"/>
      <c r="D498" s="21" t="n"/>
      <c r="E498" s="22" t="n"/>
      <c r="F498" s="21" t="n"/>
      <c r="G498" s="21" t="n"/>
      <c r="H498" s="21" t="n"/>
      <c r="I498" s="20" t="n"/>
      <c r="J498" s="21" t="n"/>
      <c r="K498" s="21" t="n"/>
    </row>
    <row r="499">
      <c r="A499" s="19">
        <f>IF($C499="","CHƯA NHẬP",IF($B499="","HỢP LỆ","LỖI"))</f>
        <v/>
      </c>
      <c r="B499" s="19">
        <f>IF($C499="","",TEXTJOIN(" | ",TRUE,IF($C499="","Thiếu mã nhân viên",""),IF(COUNTIF($C$6:$C$505,$C499)&gt;1,"Trùng mã nhân viên",""),IF($D499="","Thiếu họ tên",""),IF(AND($E499&lt;&gt;"",OR(NOT(ISNUMBER($E499)),$E499&lt;DATE(1940,1,1),$E499&gt;TODAY())),"Ngày sinh không hợp lệ",""),IF(AND($G499&lt;&gt;"",OR(ISERROR(SEARCH("@",$G499)),ISERROR(SEARCH(".",$G499)))),"Email cá nhân không hợp lệ",""),IF(AND($H499&lt;&gt;"",OR(ISERROR(SEARCH("@",$H499)),ISERROR(SEARCH(".",$H499)))),"Email công ty không hợp lệ",""),IF(AND($I499&lt;&gt;"",OR(LEN($I499)&lt;9,LEN($I499)&gt;15,NOT(ISNUMBER(--$I499)))),"Số điện thoại không hợp lệ","")))</f>
        <v/>
      </c>
      <c r="C499" s="20" t="n"/>
      <c r="D499" s="21" t="n"/>
      <c r="E499" s="22" t="n"/>
      <c r="F499" s="21" t="n"/>
      <c r="G499" s="21" t="n"/>
      <c r="H499" s="21" t="n"/>
      <c r="I499" s="20" t="n"/>
      <c r="J499" s="21" t="n"/>
      <c r="K499" s="21" t="n"/>
    </row>
    <row r="500">
      <c r="A500" s="19">
        <f>IF($C500="","CHƯA NHẬP",IF($B500="","HỢP LỆ","LỖI"))</f>
        <v/>
      </c>
      <c r="B500" s="19">
        <f>IF($C500="","",TEXTJOIN(" | ",TRUE,IF($C500="","Thiếu mã nhân viên",""),IF(COUNTIF($C$6:$C$505,$C500)&gt;1,"Trùng mã nhân viên",""),IF($D500="","Thiếu họ tên",""),IF(AND($E500&lt;&gt;"",OR(NOT(ISNUMBER($E500)),$E500&lt;DATE(1940,1,1),$E500&gt;TODAY())),"Ngày sinh không hợp lệ",""),IF(AND($G500&lt;&gt;"",OR(ISERROR(SEARCH("@",$G500)),ISERROR(SEARCH(".",$G500)))),"Email cá nhân không hợp lệ",""),IF(AND($H500&lt;&gt;"",OR(ISERROR(SEARCH("@",$H500)),ISERROR(SEARCH(".",$H500)))),"Email công ty không hợp lệ",""),IF(AND($I500&lt;&gt;"",OR(LEN($I500)&lt;9,LEN($I500)&gt;15,NOT(ISNUMBER(--$I500)))),"Số điện thoại không hợp lệ","")))</f>
        <v/>
      </c>
      <c r="C500" s="20" t="n"/>
      <c r="D500" s="21" t="n"/>
      <c r="E500" s="22" t="n"/>
      <c r="F500" s="21" t="n"/>
      <c r="G500" s="21" t="n"/>
      <c r="H500" s="21" t="n"/>
      <c r="I500" s="20" t="n"/>
      <c r="J500" s="21" t="n"/>
      <c r="K500" s="21" t="n"/>
    </row>
    <row r="501">
      <c r="A501" s="19">
        <f>IF($C501="","CHƯA NHẬP",IF($B501="","HỢP LỆ","LỖI"))</f>
        <v/>
      </c>
      <c r="B501" s="19">
        <f>IF($C501="","",TEXTJOIN(" | ",TRUE,IF($C501="","Thiếu mã nhân viên",""),IF(COUNTIF($C$6:$C$505,$C501)&gt;1,"Trùng mã nhân viên",""),IF($D501="","Thiếu họ tên",""),IF(AND($E501&lt;&gt;"",OR(NOT(ISNUMBER($E501)),$E501&lt;DATE(1940,1,1),$E501&gt;TODAY())),"Ngày sinh không hợp lệ",""),IF(AND($G501&lt;&gt;"",OR(ISERROR(SEARCH("@",$G501)),ISERROR(SEARCH(".",$G501)))),"Email cá nhân không hợp lệ",""),IF(AND($H501&lt;&gt;"",OR(ISERROR(SEARCH("@",$H501)),ISERROR(SEARCH(".",$H501)))),"Email công ty không hợp lệ",""),IF(AND($I501&lt;&gt;"",OR(LEN($I501)&lt;9,LEN($I501)&gt;15,NOT(ISNUMBER(--$I501)))),"Số điện thoại không hợp lệ","")))</f>
        <v/>
      </c>
      <c r="C501" s="20" t="n"/>
      <c r="D501" s="21" t="n"/>
      <c r="E501" s="22" t="n"/>
      <c r="F501" s="21" t="n"/>
      <c r="G501" s="21" t="n"/>
      <c r="H501" s="21" t="n"/>
      <c r="I501" s="20" t="n"/>
      <c r="J501" s="21" t="n"/>
      <c r="K501" s="21" t="n"/>
    </row>
    <row r="502">
      <c r="A502" s="19">
        <f>IF($C502="","CHƯA NHẬP",IF($B502="","HỢP LỆ","LỖI"))</f>
        <v/>
      </c>
      <c r="B502" s="19">
        <f>IF($C502="","",TEXTJOIN(" | ",TRUE,IF($C502="","Thiếu mã nhân viên",""),IF(COUNTIF($C$6:$C$505,$C502)&gt;1,"Trùng mã nhân viên",""),IF($D502="","Thiếu họ tên",""),IF(AND($E502&lt;&gt;"",OR(NOT(ISNUMBER($E502)),$E502&lt;DATE(1940,1,1),$E502&gt;TODAY())),"Ngày sinh không hợp lệ",""),IF(AND($G502&lt;&gt;"",OR(ISERROR(SEARCH("@",$G502)),ISERROR(SEARCH(".",$G502)))),"Email cá nhân không hợp lệ",""),IF(AND($H502&lt;&gt;"",OR(ISERROR(SEARCH("@",$H502)),ISERROR(SEARCH(".",$H502)))),"Email công ty không hợp lệ",""),IF(AND($I502&lt;&gt;"",OR(LEN($I502)&lt;9,LEN($I502)&gt;15,NOT(ISNUMBER(--$I502)))),"Số điện thoại không hợp lệ","")))</f>
        <v/>
      </c>
      <c r="C502" s="20" t="n"/>
      <c r="D502" s="21" t="n"/>
      <c r="E502" s="22" t="n"/>
      <c r="F502" s="21" t="n"/>
      <c r="G502" s="21" t="n"/>
      <c r="H502" s="21" t="n"/>
      <c r="I502" s="20" t="n"/>
      <c r="J502" s="21" t="n"/>
      <c r="K502" s="21" t="n"/>
    </row>
    <row r="503">
      <c r="A503" s="19">
        <f>IF($C503="","CHƯA NHẬP",IF($B503="","HỢP LỆ","LỖI"))</f>
        <v/>
      </c>
      <c r="B503" s="19">
        <f>IF($C503="","",TEXTJOIN(" | ",TRUE,IF($C503="","Thiếu mã nhân viên",""),IF(COUNTIF($C$6:$C$505,$C503)&gt;1,"Trùng mã nhân viên",""),IF($D503="","Thiếu họ tên",""),IF(AND($E503&lt;&gt;"",OR(NOT(ISNUMBER($E503)),$E503&lt;DATE(1940,1,1),$E503&gt;TODAY())),"Ngày sinh không hợp lệ",""),IF(AND($G503&lt;&gt;"",OR(ISERROR(SEARCH("@",$G503)),ISERROR(SEARCH(".",$G503)))),"Email cá nhân không hợp lệ",""),IF(AND($H503&lt;&gt;"",OR(ISERROR(SEARCH("@",$H503)),ISERROR(SEARCH(".",$H503)))),"Email công ty không hợp lệ",""),IF(AND($I503&lt;&gt;"",OR(LEN($I503)&lt;9,LEN($I503)&gt;15,NOT(ISNUMBER(--$I503)))),"Số điện thoại không hợp lệ","")))</f>
        <v/>
      </c>
      <c r="C503" s="20" t="n"/>
      <c r="D503" s="21" t="n"/>
      <c r="E503" s="22" t="n"/>
      <c r="F503" s="21" t="n"/>
      <c r="G503" s="21" t="n"/>
      <c r="H503" s="21" t="n"/>
      <c r="I503" s="20" t="n"/>
      <c r="J503" s="21" t="n"/>
      <c r="K503" s="21" t="n"/>
    </row>
    <row r="504">
      <c r="A504" s="19">
        <f>IF($C504="","CHƯA NHẬP",IF($B504="","HỢP LỆ","LỖI"))</f>
        <v/>
      </c>
      <c r="B504" s="19">
        <f>IF($C504="","",TEXTJOIN(" | ",TRUE,IF($C504="","Thiếu mã nhân viên",""),IF(COUNTIF($C$6:$C$505,$C504)&gt;1,"Trùng mã nhân viên",""),IF($D504="","Thiếu họ tên",""),IF(AND($E504&lt;&gt;"",OR(NOT(ISNUMBER($E504)),$E504&lt;DATE(1940,1,1),$E504&gt;TODAY())),"Ngày sinh không hợp lệ",""),IF(AND($G504&lt;&gt;"",OR(ISERROR(SEARCH("@",$G504)),ISERROR(SEARCH(".",$G504)))),"Email cá nhân không hợp lệ",""),IF(AND($H504&lt;&gt;"",OR(ISERROR(SEARCH("@",$H504)),ISERROR(SEARCH(".",$H504)))),"Email công ty không hợp lệ",""),IF(AND($I504&lt;&gt;"",OR(LEN($I504)&lt;9,LEN($I504)&gt;15,NOT(ISNUMBER(--$I504)))),"Số điện thoại không hợp lệ","")))</f>
        <v/>
      </c>
      <c r="C504" s="20" t="n"/>
      <c r="D504" s="21" t="n"/>
      <c r="E504" s="22" t="n"/>
      <c r="F504" s="21" t="n"/>
      <c r="G504" s="21" t="n"/>
      <c r="H504" s="21" t="n"/>
      <c r="I504" s="20" t="n"/>
      <c r="J504" s="21" t="n"/>
      <c r="K504" s="21" t="n"/>
    </row>
    <row r="505">
      <c r="A505" s="19">
        <f>IF($C505="","CHƯA NHẬP",IF($B505="","HỢP LỆ","LỖI"))</f>
        <v/>
      </c>
      <c r="B505" s="19">
        <f>IF($C505="","",TEXTJOIN(" | ",TRUE,IF($C505="","Thiếu mã nhân viên",""),IF(COUNTIF($C$6:$C$505,$C505)&gt;1,"Trùng mã nhân viên",""),IF($D505="","Thiếu họ tên",""),IF(AND($E505&lt;&gt;"",OR(NOT(ISNUMBER($E505)),$E505&lt;DATE(1940,1,1),$E505&gt;TODAY())),"Ngày sinh không hợp lệ",""),IF(AND($G505&lt;&gt;"",OR(ISERROR(SEARCH("@",$G505)),ISERROR(SEARCH(".",$G505)))),"Email cá nhân không hợp lệ",""),IF(AND($H505&lt;&gt;"",OR(ISERROR(SEARCH("@",$H505)),ISERROR(SEARCH(".",$H505)))),"Email công ty không hợp lệ",""),IF(AND($I505&lt;&gt;"",OR(LEN($I505)&lt;9,LEN($I505)&gt;15,NOT(ISNUMBER(--$I505)))),"Số điện thoại không hợp lệ","")))</f>
        <v/>
      </c>
      <c r="C505" s="20" t="n"/>
      <c r="D505" s="21" t="n"/>
      <c r="E505" s="22" t="n"/>
      <c r="F505" s="21" t="n"/>
      <c r="G505" s="21" t="n"/>
      <c r="H505" s="21" t="n"/>
      <c r="I505" s="20" t="n"/>
      <c r="J505" s="21" t="n"/>
      <c r="K505" s="21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B094"/>
  <autoFilter ref="A5:K505"/>
  <mergeCells count="2">
    <mergeCell ref="A2:Q2"/>
    <mergeCell ref="A1:Q1"/>
  </mergeCells>
  <conditionalFormatting sqref="A6:K505">
    <cfRule type="expression" priority="1" dxfId="0">
      <formula>$A6="LỖI"</formula>
    </cfRule>
    <cfRule type="expression" priority="2" dxfId="1">
      <formula>$A6="HỢP LỆ"</formula>
    </cfRule>
  </conditionalFormatting>
  <dataValidations count="5">
    <dataValidation sqref="F6:F505" showDropDown="0" showInputMessage="1" showErrorMessage="1" allowBlank="1" errorTitle="Giá trị không hợp lệ" error="Hãy chọn một giá trị trong danh sách." promptTitle="Chọn từ danh mục" prompt="Chọn giới tính chuẩn hóa." type="list" errorStyle="stop">
      <formula1>=dm_gender</formula1>
    </dataValidation>
    <dataValidation sqref="C6:C505" showDropDown="0" showInputMessage="1" showErrorMessage="1" allowBlank="1" errorTitle="Mã nhân viên không hợp lệ" error="Mã tối đa 20 ký tự và không có khoảng trắng." promptTitle="Quy tắc nhập" prompt="Nhập dạng text, ví dụ 00001." type="custom" errorStyle="stop">
      <formula1>=OR(C6="",AND(LEN(C6)&lt;=20,ISERROR(SEARCH(" ",C6))))</formula1>
    </dataValidation>
    <dataValidation sqref="E6:E505" showDropDown="0" showInputMessage="1" showErrorMessage="1" allowBlank="1" errorTitle="Ngày sinh không hợp lệ" error="Ngày sinh phải từ 01/01/1940 đến hôm nay." promptTitle="Quy tắc nhập" prompt="Dùng định dạng dd/mm/yyyy." type="custom" errorStyle="stop">
      <formula1>=OR(E6="",AND(ISNUMBER(E6),E6&gt;=DATE(1940,1,1),E6&lt;=TODAY()))</formula1>
    </dataValidation>
    <dataValidation sqref="G6:H505" showDropDown="0" showInputMessage="1" showErrorMessage="1" allowBlank="1" errorTitle="Email không hợp lệ" error="Email phải có @ và dấu chấm." promptTitle="Quy tắc nhập" prompt="Ví dụ user@company.com." type="custom" errorStyle="stop">
      <formula1>=OR(G6="",AND(ISNUMBER(SEARCH("@",G6)),ISNUMBER(SEARCH(".",G6))))</formula1>
    </dataValidation>
    <dataValidation sqref="I6:I505" showDropDown="0" showInputMessage="1" showErrorMessage="1" allowBlank="1" errorTitle="Số điện thoại không hợp lệ" error="Chỉ nhập 9–15 chữ số." promptTitle="Quy tắc nhập" prompt="Định dạng text để giữ số 0 đầu." type="custom" errorStyle="stop">
      <formula1>=OR(I6="",AND(LEN(I6)&gt;=9,LEN(I6)&lt;=15,ISNUMBER(--I6)))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5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16" customWidth="1" min="3" max="3"/>
    <col width="20" customWidth="1" min="4" max="4"/>
    <col width="17" customWidth="1" min="5" max="5"/>
    <col width="14" customWidth="1" min="6" max="6"/>
    <col width="28" customWidth="1" min="7" max="7"/>
    <col width="28" customWidth="1" min="8" max="8"/>
    <col width="34" customWidth="1" min="9" max="9"/>
    <col width="34" customWidth="1" min="10" max="10"/>
    <col width="12" customWidth="1" min="11" max="11"/>
    <col width="12" customWidth="1" min="12" max="12"/>
    <col width="20" customWidth="1" min="13" max="13"/>
    <col width="18" customWidth="1" min="14" max="14"/>
    <col width="36" customWidth="1" min="15" max="15"/>
  </cols>
  <sheetData>
    <row r="1" ht="34" customHeight="1">
      <c r="A1" s="16" t="inlineStr">
        <is>
          <t>BƯỚC 2 · THÔNG TIN CÔNG VIỆC</t>
        </is>
      </c>
    </row>
    <row r="2" ht="24" customHeight="1">
      <c r="A2" s="17" t="inlineStr">
        <is>
          <t>Mã nhân viên phải tồn tại ở Bước 1. Dữ liệu phòng ban/chức danh lấy từ danh mục và có thể mở rộng.</t>
        </is>
      </c>
    </row>
    <row r="5" ht="42" customHeight="1">
      <c r="A5" s="18" t="inlineStr">
        <is>
          <t>Trạng thái kiểm tra</t>
        </is>
      </c>
      <c r="B5" s="18" t="inlineStr">
        <is>
          <t>Lỗi dữ liệu</t>
        </is>
      </c>
      <c r="C5" s="18" t="inlineStr">
        <is>
          <t>Mã nhân viên</t>
        </is>
      </c>
      <c r="D5" s="18" t="inlineStr">
        <is>
          <t>Trạng thái làm việc</t>
        </is>
      </c>
      <c r="E5" s="18" t="inlineStr">
        <is>
          <t>Ngày vào công ty</t>
        </is>
      </c>
      <c r="F5" s="18" t="inlineStr">
        <is>
          <t>Chi nhánh</t>
        </is>
      </c>
      <c r="G5" s="18" t="inlineStr">
        <is>
          <t>Phòng ban</t>
        </is>
      </c>
      <c r="H5" s="18" t="inlineStr">
        <is>
          <t>Bộ phận</t>
        </is>
      </c>
      <c r="I5" s="18" t="inlineStr">
        <is>
          <t>Chức danh (VI)</t>
        </is>
      </c>
      <c r="J5" s="18" t="inlineStr">
        <is>
          <t>Position (EN)</t>
        </is>
      </c>
      <c r="K5" s="18" t="inlineStr">
        <is>
          <t>Ngạch</t>
        </is>
      </c>
      <c r="L5" s="18" t="inlineStr">
        <is>
          <t>Cấp bậc</t>
        </is>
      </c>
      <c r="M5" s="18" t="inlineStr">
        <is>
          <t>Mã quản lý trực tiếp</t>
        </is>
      </c>
      <c r="N5" s="18" t="inlineStr">
        <is>
          <t>Lương cơ bản</t>
        </is>
      </c>
      <c r="O5" s="18" t="inlineStr">
        <is>
          <t>Ghi chú</t>
        </is>
      </c>
    </row>
    <row r="6">
      <c r="A6" s="19">
        <f>IF($C6="","CHƯA NHẬP",IF($B6="","HỢP LỆ","LỖI"))</f>
        <v/>
      </c>
      <c r="B6" s="19">
        <f>IF($C6="","",TEXTJOIN(" | ",TRUE,IF(COUNTIF('01_HO_SO'!$C$6:$C$505,$C6)=0,"Mã chưa có ở Bước 1",""),IF(COUNTIF($C$6:$C$505,$C6)&gt;1,"Trùng mã trong thông tin công việc",""),IF($D6="","Thiếu trạng thái làm việc",""),IF($E6="","Thiếu ngày vào công ty",IF(OR(NOT(ISNUMBER($E6)),$E6&gt;TODAY()),"Ngày vào công ty không hợp lệ","")),IF($G6="","Thiếu phòng ban",""),IF($I6="","Thiếu chức danh",""),IF(AND($M6&lt;&gt;"",COUNTIF('01_HO_SO'!$C$6:$C$505,$M6)=0),"Mã quản lý không tồn tại",""),IF(AND($M6&lt;&gt;"",$M6=$C6),"Không thể tự quản lý chính mình",""),IF(OR($N6&lt;0,$N6&gt;1000000000),"Lương cơ bản ngoài phạm vi","")))</f>
        <v/>
      </c>
      <c r="C6" s="20" t="n"/>
      <c r="D6" s="21" t="n"/>
      <c r="E6" s="22" t="n"/>
      <c r="F6" s="21" t="n"/>
      <c r="G6" s="21" t="n"/>
      <c r="H6" s="21" t="n"/>
      <c r="I6" s="21" t="n"/>
      <c r="J6" s="19">
        <f>IF($I6="","",IFERROR(INDEX(DANH_MUC!$D$4:$D$1000,MATCH($I6,DANH_MUC!$C$4:$C$1000,0)),""))</f>
        <v/>
      </c>
      <c r="K6" s="21" t="n"/>
      <c r="L6" s="21" t="n"/>
      <c r="M6" s="20" t="n"/>
      <c r="N6" s="23" t="n"/>
      <c r="O6" s="21" t="n"/>
    </row>
    <row r="7">
      <c r="A7" s="19">
        <f>IF($C7="","CHƯA NHẬP",IF($B7="","HỢP LỆ","LỖI"))</f>
        <v/>
      </c>
      <c r="B7" s="19">
        <f>IF($C7="","",TEXTJOIN(" | ",TRUE,IF(COUNTIF('01_HO_SO'!$C$6:$C$505,$C7)=0,"Mã chưa có ở Bước 1",""),IF(COUNTIF($C$6:$C$505,$C7)&gt;1,"Trùng mã trong thông tin công việc",""),IF($D7="","Thiếu trạng thái làm việc",""),IF($E7="","Thiếu ngày vào công ty",IF(OR(NOT(ISNUMBER($E7)),$E7&gt;TODAY()),"Ngày vào công ty không hợp lệ","")),IF($G7="","Thiếu phòng ban",""),IF($I7="","Thiếu chức danh",""),IF(AND($M7&lt;&gt;"",COUNTIF('01_HO_SO'!$C$6:$C$505,$M7)=0),"Mã quản lý không tồn tại",""),IF(AND($M7&lt;&gt;"",$M7=$C7),"Không thể tự quản lý chính mình",""),IF(OR($N7&lt;0,$N7&gt;1000000000),"Lương cơ bản ngoài phạm vi","")))</f>
        <v/>
      </c>
      <c r="C7" s="20" t="n"/>
      <c r="D7" s="21" t="n"/>
      <c r="E7" s="22" t="n"/>
      <c r="F7" s="21" t="n"/>
      <c r="G7" s="21" t="n"/>
      <c r="H7" s="21" t="n"/>
      <c r="I7" s="21" t="n"/>
      <c r="J7" s="19">
        <f>IF($I7="","",IFERROR(INDEX(DANH_MUC!$D$4:$D$1000,MATCH($I7,DANH_MUC!$C$4:$C$1000,0)),""))</f>
        <v/>
      </c>
      <c r="K7" s="21" t="n"/>
      <c r="L7" s="21" t="n"/>
      <c r="M7" s="20" t="n"/>
      <c r="N7" s="23" t="n"/>
      <c r="O7" s="21" t="n"/>
    </row>
    <row r="8">
      <c r="A8" s="19">
        <f>IF($C8="","CHƯA NHẬP",IF($B8="","HỢP LỆ","LỖI"))</f>
        <v/>
      </c>
      <c r="B8" s="19">
        <f>IF($C8="","",TEXTJOIN(" | ",TRUE,IF(COUNTIF('01_HO_SO'!$C$6:$C$505,$C8)=0,"Mã chưa có ở Bước 1",""),IF(COUNTIF($C$6:$C$505,$C8)&gt;1,"Trùng mã trong thông tin công việc",""),IF($D8="","Thiếu trạng thái làm việc",""),IF($E8="","Thiếu ngày vào công ty",IF(OR(NOT(ISNUMBER($E8)),$E8&gt;TODAY()),"Ngày vào công ty không hợp lệ","")),IF($G8="","Thiếu phòng ban",""),IF($I8="","Thiếu chức danh",""),IF(AND($M8&lt;&gt;"",COUNTIF('01_HO_SO'!$C$6:$C$505,$M8)=0),"Mã quản lý không tồn tại",""),IF(AND($M8&lt;&gt;"",$M8=$C8),"Không thể tự quản lý chính mình",""),IF(OR($N8&lt;0,$N8&gt;1000000000),"Lương cơ bản ngoài phạm vi","")))</f>
        <v/>
      </c>
      <c r="C8" s="20" t="n"/>
      <c r="D8" s="21" t="n"/>
      <c r="E8" s="22" t="n"/>
      <c r="F8" s="21" t="n"/>
      <c r="G8" s="21" t="n"/>
      <c r="H8" s="21" t="n"/>
      <c r="I8" s="21" t="n"/>
      <c r="J8" s="19">
        <f>IF($I8="","",IFERROR(INDEX(DANH_MUC!$D$4:$D$1000,MATCH($I8,DANH_MUC!$C$4:$C$1000,0)),""))</f>
        <v/>
      </c>
      <c r="K8" s="21" t="n"/>
      <c r="L8" s="21" t="n"/>
      <c r="M8" s="20" t="n"/>
      <c r="N8" s="23" t="n"/>
      <c r="O8" s="21" t="n"/>
    </row>
    <row r="9">
      <c r="A9" s="19">
        <f>IF($C9="","CHƯA NHẬP",IF($B9="","HỢP LỆ","LỖI"))</f>
        <v/>
      </c>
      <c r="B9" s="19">
        <f>IF($C9="","",TEXTJOIN(" | ",TRUE,IF(COUNTIF('01_HO_SO'!$C$6:$C$505,$C9)=0,"Mã chưa có ở Bước 1",""),IF(COUNTIF($C$6:$C$505,$C9)&gt;1,"Trùng mã trong thông tin công việc",""),IF($D9="","Thiếu trạng thái làm việc",""),IF($E9="","Thiếu ngày vào công ty",IF(OR(NOT(ISNUMBER($E9)),$E9&gt;TODAY()),"Ngày vào công ty không hợp lệ","")),IF($G9="","Thiếu phòng ban",""),IF($I9="","Thiếu chức danh",""),IF(AND($M9&lt;&gt;"",COUNTIF('01_HO_SO'!$C$6:$C$505,$M9)=0),"Mã quản lý không tồn tại",""),IF(AND($M9&lt;&gt;"",$M9=$C9),"Không thể tự quản lý chính mình",""),IF(OR($N9&lt;0,$N9&gt;1000000000),"Lương cơ bản ngoài phạm vi","")))</f>
        <v/>
      </c>
      <c r="C9" s="20" t="n"/>
      <c r="D9" s="21" t="n"/>
      <c r="E9" s="22" t="n"/>
      <c r="F9" s="21" t="n"/>
      <c r="G9" s="21" t="n"/>
      <c r="H9" s="21" t="n"/>
      <c r="I9" s="21" t="n"/>
      <c r="J9" s="19">
        <f>IF($I9="","",IFERROR(INDEX(DANH_MUC!$D$4:$D$1000,MATCH($I9,DANH_MUC!$C$4:$C$1000,0)),""))</f>
        <v/>
      </c>
      <c r="K9" s="21" t="n"/>
      <c r="L9" s="21" t="n"/>
      <c r="M9" s="20" t="n"/>
      <c r="N9" s="23" t="n"/>
      <c r="O9" s="21" t="n"/>
    </row>
    <row r="10">
      <c r="A10" s="19">
        <f>IF($C10="","CHƯA NHẬP",IF($B10="","HỢP LỆ","LỖI"))</f>
        <v/>
      </c>
      <c r="B10" s="19">
        <f>IF($C10="","",TEXTJOIN(" | ",TRUE,IF(COUNTIF('01_HO_SO'!$C$6:$C$505,$C10)=0,"Mã chưa có ở Bước 1",""),IF(COUNTIF($C$6:$C$505,$C10)&gt;1,"Trùng mã trong thông tin công việc",""),IF($D10="","Thiếu trạng thái làm việc",""),IF($E10="","Thiếu ngày vào công ty",IF(OR(NOT(ISNUMBER($E10)),$E10&gt;TODAY()),"Ngày vào công ty không hợp lệ","")),IF($G10="","Thiếu phòng ban",""),IF($I10="","Thiếu chức danh",""),IF(AND($M10&lt;&gt;"",COUNTIF('01_HO_SO'!$C$6:$C$505,$M10)=0),"Mã quản lý không tồn tại",""),IF(AND($M10&lt;&gt;"",$M10=$C10),"Không thể tự quản lý chính mình",""),IF(OR($N10&lt;0,$N10&gt;1000000000),"Lương cơ bản ngoài phạm vi","")))</f>
        <v/>
      </c>
      <c r="C10" s="20" t="n"/>
      <c r="D10" s="21" t="n"/>
      <c r="E10" s="22" t="n"/>
      <c r="F10" s="21" t="n"/>
      <c r="G10" s="21" t="n"/>
      <c r="H10" s="21" t="n"/>
      <c r="I10" s="21" t="n"/>
      <c r="J10" s="19">
        <f>IF($I10="","",IFERROR(INDEX(DANH_MUC!$D$4:$D$1000,MATCH($I10,DANH_MUC!$C$4:$C$1000,0)),""))</f>
        <v/>
      </c>
      <c r="K10" s="21" t="n"/>
      <c r="L10" s="21" t="n"/>
      <c r="M10" s="20" t="n"/>
      <c r="N10" s="23" t="n"/>
      <c r="O10" s="21" t="n"/>
    </row>
    <row r="11">
      <c r="A11" s="19">
        <f>IF($C11="","CHƯA NHẬP",IF($B11="","HỢP LỆ","LỖI"))</f>
        <v/>
      </c>
      <c r="B11" s="19">
        <f>IF($C11="","",TEXTJOIN(" | ",TRUE,IF(COUNTIF('01_HO_SO'!$C$6:$C$505,$C11)=0,"Mã chưa có ở Bước 1",""),IF(COUNTIF($C$6:$C$505,$C11)&gt;1,"Trùng mã trong thông tin công việc",""),IF($D11="","Thiếu trạng thái làm việc",""),IF($E11="","Thiếu ngày vào công ty",IF(OR(NOT(ISNUMBER($E11)),$E11&gt;TODAY()),"Ngày vào công ty không hợp lệ","")),IF($G11="","Thiếu phòng ban",""),IF($I11="","Thiếu chức danh",""),IF(AND($M11&lt;&gt;"",COUNTIF('01_HO_SO'!$C$6:$C$505,$M11)=0),"Mã quản lý không tồn tại",""),IF(AND($M11&lt;&gt;"",$M11=$C11),"Không thể tự quản lý chính mình",""),IF(OR($N11&lt;0,$N11&gt;1000000000),"Lương cơ bản ngoài phạm vi","")))</f>
        <v/>
      </c>
      <c r="C11" s="20" t="n"/>
      <c r="D11" s="21" t="n"/>
      <c r="E11" s="22" t="n"/>
      <c r="F11" s="21" t="n"/>
      <c r="G11" s="21" t="n"/>
      <c r="H11" s="21" t="n"/>
      <c r="I11" s="21" t="n"/>
      <c r="J11" s="19">
        <f>IF($I11="","",IFERROR(INDEX(DANH_MUC!$D$4:$D$1000,MATCH($I11,DANH_MUC!$C$4:$C$1000,0)),""))</f>
        <v/>
      </c>
      <c r="K11" s="21" t="n"/>
      <c r="L11" s="21" t="n"/>
      <c r="M11" s="20" t="n"/>
      <c r="N11" s="23" t="n"/>
      <c r="O11" s="21" t="n"/>
    </row>
    <row r="12">
      <c r="A12" s="19">
        <f>IF($C12="","CHƯA NHẬP",IF($B12="","HỢP LỆ","LỖI"))</f>
        <v/>
      </c>
      <c r="B12" s="19">
        <f>IF($C12="","",TEXTJOIN(" | ",TRUE,IF(COUNTIF('01_HO_SO'!$C$6:$C$505,$C12)=0,"Mã chưa có ở Bước 1",""),IF(COUNTIF($C$6:$C$505,$C12)&gt;1,"Trùng mã trong thông tin công việc",""),IF($D12="","Thiếu trạng thái làm việc",""),IF($E12="","Thiếu ngày vào công ty",IF(OR(NOT(ISNUMBER($E12)),$E12&gt;TODAY()),"Ngày vào công ty không hợp lệ","")),IF($G12="","Thiếu phòng ban",""),IF($I12="","Thiếu chức danh",""),IF(AND($M12&lt;&gt;"",COUNTIF('01_HO_SO'!$C$6:$C$505,$M12)=0),"Mã quản lý không tồn tại",""),IF(AND($M12&lt;&gt;"",$M12=$C12),"Không thể tự quản lý chính mình",""),IF(OR($N12&lt;0,$N12&gt;1000000000),"Lương cơ bản ngoài phạm vi","")))</f>
        <v/>
      </c>
      <c r="C12" s="20" t="n"/>
      <c r="D12" s="21" t="n"/>
      <c r="E12" s="22" t="n"/>
      <c r="F12" s="21" t="n"/>
      <c r="G12" s="21" t="n"/>
      <c r="H12" s="21" t="n"/>
      <c r="I12" s="21" t="n"/>
      <c r="J12" s="19">
        <f>IF($I12="","",IFERROR(INDEX(DANH_MUC!$D$4:$D$1000,MATCH($I12,DANH_MUC!$C$4:$C$1000,0)),""))</f>
        <v/>
      </c>
      <c r="K12" s="21" t="n"/>
      <c r="L12" s="21" t="n"/>
      <c r="M12" s="20" t="n"/>
      <c r="N12" s="23" t="n"/>
      <c r="O12" s="21" t="n"/>
    </row>
    <row r="13">
      <c r="A13" s="19">
        <f>IF($C13="","CHƯA NHẬP",IF($B13="","HỢP LỆ","LỖI"))</f>
        <v/>
      </c>
      <c r="B13" s="19">
        <f>IF($C13="","",TEXTJOIN(" | ",TRUE,IF(COUNTIF('01_HO_SO'!$C$6:$C$505,$C13)=0,"Mã chưa có ở Bước 1",""),IF(COUNTIF($C$6:$C$505,$C13)&gt;1,"Trùng mã trong thông tin công việc",""),IF($D13="","Thiếu trạng thái làm việc",""),IF($E13="","Thiếu ngày vào công ty",IF(OR(NOT(ISNUMBER($E13)),$E13&gt;TODAY()),"Ngày vào công ty không hợp lệ","")),IF($G13="","Thiếu phòng ban",""),IF($I13="","Thiếu chức danh",""),IF(AND($M13&lt;&gt;"",COUNTIF('01_HO_SO'!$C$6:$C$505,$M13)=0),"Mã quản lý không tồn tại",""),IF(AND($M13&lt;&gt;"",$M13=$C13),"Không thể tự quản lý chính mình",""),IF(OR($N13&lt;0,$N13&gt;1000000000),"Lương cơ bản ngoài phạm vi","")))</f>
        <v/>
      </c>
      <c r="C13" s="20" t="n"/>
      <c r="D13" s="21" t="n"/>
      <c r="E13" s="22" t="n"/>
      <c r="F13" s="21" t="n"/>
      <c r="G13" s="21" t="n"/>
      <c r="H13" s="21" t="n"/>
      <c r="I13" s="21" t="n"/>
      <c r="J13" s="19">
        <f>IF($I13="","",IFERROR(INDEX(DANH_MUC!$D$4:$D$1000,MATCH($I13,DANH_MUC!$C$4:$C$1000,0)),""))</f>
        <v/>
      </c>
      <c r="K13" s="21" t="n"/>
      <c r="L13" s="21" t="n"/>
      <c r="M13" s="20" t="n"/>
      <c r="N13" s="23" t="n"/>
      <c r="O13" s="21" t="n"/>
    </row>
    <row r="14">
      <c r="A14" s="19">
        <f>IF($C14="","CHƯA NHẬP",IF($B14="","HỢP LỆ","LỖI"))</f>
        <v/>
      </c>
      <c r="B14" s="19">
        <f>IF($C14="","",TEXTJOIN(" | ",TRUE,IF(COUNTIF('01_HO_SO'!$C$6:$C$505,$C14)=0,"Mã chưa có ở Bước 1",""),IF(COUNTIF($C$6:$C$505,$C14)&gt;1,"Trùng mã trong thông tin công việc",""),IF($D14="","Thiếu trạng thái làm việc",""),IF($E14="","Thiếu ngày vào công ty",IF(OR(NOT(ISNUMBER($E14)),$E14&gt;TODAY()),"Ngày vào công ty không hợp lệ","")),IF($G14="","Thiếu phòng ban",""),IF($I14="","Thiếu chức danh",""),IF(AND($M14&lt;&gt;"",COUNTIF('01_HO_SO'!$C$6:$C$505,$M14)=0),"Mã quản lý không tồn tại",""),IF(AND($M14&lt;&gt;"",$M14=$C14),"Không thể tự quản lý chính mình",""),IF(OR($N14&lt;0,$N14&gt;1000000000),"Lương cơ bản ngoài phạm vi","")))</f>
        <v/>
      </c>
      <c r="C14" s="20" t="n"/>
      <c r="D14" s="21" t="n"/>
      <c r="E14" s="22" t="n"/>
      <c r="F14" s="21" t="n"/>
      <c r="G14" s="21" t="n"/>
      <c r="H14" s="21" t="n"/>
      <c r="I14" s="21" t="n"/>
      <c r="J14" s="19">
        <f>IF($I14="","",IFERROR(INDEX(DANH_MUC!$D$4:$D$1000,MATCH($I14,DANH_MUC!$C$4:$C$1000,0)),""))</f>
        <v/>
      </c>
      <c r="K14" s="21" t="n"/>
      <c r="L14" s="21" t="n"/>
      <c r="M14" s="20" t="n"/>
      <c r="N14" s="23" t="n"/>
      <c r="O14" s="21" t="n"/>
    </row>
    <row r="15">
      <c r="A15" s="19">
        <f>IF($C15="","CHƯA NHẬP",IF($B15="","HỢP LỆ","LỖI"))</f>
        <v/>
      </c>
      <c r="B15" s="19">
        <f>IF($C15="","",TEXTJOIN(" | ",TRUE,IF(COUNTIF('01_HO_SO'!$C$6:$C$505,$C15)=0,"Mã chưa có ở Bước 1",""),IF(COUNTIF($C$6:$C$505,$C15)&gt;1,"Trùng mã trong thông tin công việc",""),IF($D15="","Thiếu trạng thái làm việc",""),IF($E15="","Thiếu ngày vào công ty",IF(OR(NOT(ISNUMBER($E15)),$E15&gt;TODAY()),"Ngày vào công ty không hợp lệ","")),IF($G15="","Thiếu phòng ban",""),IF($I15="","Thiếu chức danh",""),IF(AND($M15&lt;&gt;"",COUNTIF('01_HO_SO'!$C$6:$C$505,$M15)=0),"Mã quản lý không tồn tại",""),IF(AND($M15&lt;&gt;"",$M15=$C15),"Không thể tự quản lý chính mình",""),IF(OR($N15&lt;0,$N15&gt;1000000000),"Lương cơ bản ngoài phạm vi","")))</f>
        <v/>
      </c>
      <c r="C15" s="20" t="n"/>
      <c r="D15" s="21" t="n"/>
      <c r="E15" s="22" t="n"/>
      <c r="F15" s="21" t="n"/>
      <c r="G15" s="21" t="n"/>
      <c r="H15" s="21" t="n"/>
      <c r="I15" s="21" t="n"/>
      <c r="J15" s="19">
        <f>IF($I15="","",IFERROR(INDEX(DANH_MUC!$D$4:$D$1000,MATCH($I15,DANH_MUC!$C$4:$C$1000,0)),""))</f>
        <v/>
      </c>
      <c r="K15" s="21" t="n"/>
      <c r="L15" s="21" t="n"/>
      <c r="M15" s="20" t="n"/>
      <c r="N15" s="23" t="n"/>
      <c r="O15" s="21" t="n"/>
    </row>
    <row r="16">
      <c r="A16" s="19">
        <f>IF($C16="","CHƯA NHẬP",IF($B16="","HỢP LỆ","LỖI"))</f>
        <v/>
      </c>
      <c r="B16" s="19">
        <f>IF($C16="","",TEXTJOIN(" | ",TRUE,IF(COUNTIF('01_HO_SO'!$C$6:$C$505,$C16)=0,"Mã chưa có ở Bước 1",""),IF(COUNTIF($C$6:$C$505,$C16)&gt;1,"Trùng mã trong thông tin công việc",""),IF($D16="","Thiếu trạng thái làm việc",""),IF($E16="","Thiếu ngày vào công ty",IF(OR(NOT(ISNUMBER($E16)),$E16&gt;TODAY()),"Ngày vào công ty không hợp lệ","")),IF($G16="","Thiếu phòng ban",""),IF($I16="","Thiếu chức danh",""),IF(AND($M16&lt;&gt;"",COUNTIF('01_HO_SO'!$C$6:$C$505,$M16)=0),"Mã quản lý không tồn tại",""),IF(AND($M16&lt;&gt;"",$M16=$C16),"Không thể tự quản lý chính mình",""),IF(OR($N16&lt;0,$N16&gt;1000000000),"Lương cơ bản ngoài phạm vi","")))</f>
        <v/>
      </c>
      <c r="C16" s="20" t="n"/>
      <c r="D16" s="21" t="n"/>
      <c r="E16" s="22" t="n"/>
      <c r="F16" s="21" t="n"/>
      <c r="G16" s="21" t="n"/>
      <c r="H16" s="21" t="n"/>
      <c r="I16" s="21" t="n"/>
      <c r="J16" s="19">
        <f>IF($I16="","",IFERROR(INDEX(DANH_MUC!$D$4:$D$1000,MATCH($I16,DANH_MUC!$C$4:$C$1000,0)),""))</f>
        <v/>
      </c>
      <c r="K16" s="21" t="n"/>
      <c r="L16" s="21" t="n"/>
      <c r="M16" s="20" t="n"/>
      <c r="N16" s="23" t="n"/>
      <c r="O16" s="21" t="n"/>
    </row>
    <row r="17">
      <c r="A17" s="19">
        <f>IF($C17="","CHƯA NHẬP",IF($B17="","HỢP LỆ","LỖI"))</f>
        <v/>
      </c>
      <c r="B17" s="19">
        <f>IF($C17="","",TEXTJOIN(" | ",TRUE,IF(COUNTIF('01_HO_SO'!$C$6:$C$505,$C17)=0,"Mã chưa có ở Bước 1",""),IF(COUNTIF($C$6:$C$505,$C17)&gt;1,"Trùng mã trong thông tin công việc",""),IF($D17="","Thiếu trạng thái làm việc",""),IF($E17="","Thiếu ngày vào công ty",IF(OR(NOT(ISNUMBER($E17)),$E17&gt;TODAY()),"Ngày vào công ty không hợp lệ","")),IF($G17="","Thiếu phòng ban",""),IF($I17="","Thiếu chức danh",""),IF(AND($M17&lt;&gt;"",COUNTIF('01_HO_SO'!$C$6:$C$505,$M17)=0),"Mã quản lý không tồn tại",""),IF(AND($M17&lt;&gt;"",$M17=$C17),"Không thể tự quản lý chính mình",""),IF(OR($N17&lt;0,$N17&gt;1000000000),"Lương cơ bản ngoài phạm vi","")))</f>
        <v/>
      </c>
      <c r="C17" s="20" t="n"/>
      <c r="D17" s="21" t="n"/>
      <c r="E17" s="22" t="n"/>
      <c r="F17" s="21" t="n"/>
      <c r="G17" s="21" t="n"/>
      <c r="H17" s="21" t="n"/>
      <c r="I17" s="21" t="n"/>
      <c r="J17" s="19">
        <f>IF($I17="","",IFERROR(INDEX(DANH_MUC!$D$4:$D$1000,MATCH($I17,DANH_MUC!$C$4:$C$1000,0)),""))</f>
        <v/>
      </c>
      <c r="K17" s="21" t="n"/>
      <c r="L17" s="21" t="n"/>
      <c r="M17" s="20" t="n"/>
      <c r="N17" s="23" t="n"/>
      <c r="O17" s="21" t="n"/>
    </row>
    <row r="18">
      <c r="A18" s="19">
        <f>IF($C18="","CHƯA NHẬP",IF($B18="","HỢP LỆ","LỖI"))</f>
        <v/>
      </c>
      <c r="B18" s="19">
        <f>IF($C18="","",TEXTJOIN(" | ",TRUE,IF(COUNTIF('01_HO_SO'!$C$6:$C$505,$C18)=0,"Mã chưa có ở Bước 1",""),IF(COUNTIF($C$6:$C$505,$C18)&gt;1,"Trùng mã trong thông tin công việc",""),IF($D18="","Thiếu trạng thái làm việc",""),IF($E18="","Thiếu ngày vào công ty",IF(OR(NOT(ISNUMBER($E18)),$E18&gt;TODAY()),"Ngày vào công ty không hợp lệ","")),IF($G18="","Thiếu phòng ban",""),IF($I18="","Thiếu chức danh",""),IF(AND($M18&lt;&gt;"",COUNTIF('01_HO_SO'!$C$6:$C$505,$M18)=0),"Mã quản lý không tồn tại",""),IF(AND($M18&lt;&gt;"",$M18=$C18),"Không thể tự quản lý chính mình",""),IF(OR($N18&lt;0,$N18&gt;1000000000),"Lương cơ bản ngoài phạm vi","")))</f>
        <v/>
      </c>
      <c r="C18" s="20" t="n"/>
      <c r="D18" s="21" t="n"/>
      <c r="E18" s="22" t="n"/>
      <c r="F18" s="21" t="n"/>
      <c r="G18" s="21" t="n"/>
      <c r="H18" s="21" t="n"/>
      <c r="I18" s="21" t="n"/>
      <c r="J18" s="19">
        <f>IF($I18="","",IFERROR(INDEX(DANH_MUC!$D$4:$D$1000,MATCH($I18,DANH_MUC!$C$4:$C$1000,0)),""))</f>
        <v/>
      </c>
      <c r="K18" s="21" t="n"/>
      <c r="L18" s="21" t="n"/>
      <c r="M18" s="20" t="n"/>
      <c r="N18" s="23" t="n"/>
      <c r="O18" s="21" t="n"/>
    </row>
    <row r="19">
      <c r="A19" s="19">
        <f>IF($C19="","CHƯA NHẬP",IF($B19="","HỢP LỆ","LỖI"))</f>
        <v/>
      </c>
      <c r="B19" s="19">
        <f>IF($C19="","",TEXTJOIN(" | ",TRUE,IF(COUNTIF('01_HO_SO'!$C$6:$C$505,$C19)=0,"Mã chưa có ở Bước 1",""),IF(COUNTIF($C$6:$C$505,$C19)&gt;1,"Trùng mã trong thông tin công việc",""),IF($D19="","Thiếu trạng thái làm việc",""),IF($E19="","Thiếu ngày vào công ty",IF(OR(NOT(ISNUMBER($E19)),$E19&gt;TODAY()),"Ngày vào công ty không hợp lệ","")),IF($G19="","Thiếu phòng ban",""),IF($I19="","Thiếu chức danh",""),IF(AND($M19&lt;&gt;"",COUNTIF('01_HO_SO'!$C$6:$C$505,$M19)=0),"Mã quản lý không tồn tại",""),IF(AND($M19&lt;&gt;"",$M19=$C19),"Không thể tự quản lý chính mình",""),IF(OR($N19&lt;0,$N19&gt;1000000000),"Lương cơ bản ngoài phạm vi","")))</f>
        <v/>
      </c>
      <c r="C19" s="20" t="n"/>
      <c r="D19" s="21" t="n"/>
      <c r="E19" s="22" t="n"/>
      <c r="F19" s="21" t="n"/>
      <c r="G19" s="21" t="n"/>
      <c r="H19" s="21" t="n"/>
      <c r="I19" s="21" t="n"/>
      <c r="J19" s="19">
        <f>IF($I19="","",IFERROR(INDEX(DANH_MUC!$D$4:$D$1000,MATCH($I19,DANH_MUC!$C$4:$C$1000,0)),""))</f>
        <v/>
      </c>
      <c r="K19" s="21" t="n"/>
      <c r="L19" s="21" t="n"/>
      <c r="M19" s="20" t="n"/>
      <c r="N19" s="23" t="n"/>
      <c r="O19" s="21" t="n"/>
    </row>
    <row r="20">
      <c r="A20" s="19">
        <f>IF($C20="","CHƯA NHẬP",IF($B20="","HỢP LỆ","LỖI"))</f>
        <v/>
      </c>
      <c r="B20" s="19">
        <f>IF($C20="","",TEXTJOIN(" | ",TRUE,IF(COUNTIF('01_HO_SO'!$C$6:$C$505,$C20)=0,"Mã chưa có ở Bước 1",""),IF(COUNTIF($C$6:$C$505,$C20)&gt;1,"Trùng mã trong thông tin công việc",""),IF($D20="","Thiếu trạng thái làm việc",""),IF($E20="","Thiếu ngày vào công ty",IF(OR(NOT(ISNUMBER($E20)),$E20&gt;TODAY()),"Ngày vào công ty không hợp lệ","")),IF($G20="","Thiếu phòng ban",""),IF($I20="","Thiếu chức danh",""),IF(AND($M20&lt;&gt;"",COUNTIF('01_HO_SO'!$C$6:$C$505,$M20)=0),"Mã quản lý không tồn tại",""),IF(AND($M20&lt;&gt;"",$M20=$C20),"Không thể tự quản lý chính mình",""),IF(OR($N20&lt;0,$N20&gt;1000000000),"Lương cơ bản ngoài phạm vi","")))</f>
        <v/>
      </c>
      <c r="C20" s="20" t="n"/>
      <c r="D20" s="21" t="n"/>
      <c r="E20" s="22" t="n"/>
      <c r="F20" s="21" t="n"/>
      <c r="G20" s="21" t="n"/>
      <c r="H20" s="21" t="n"/>
      <c r="I20" s="21" t="n"/>
      <c r="J20" s="19">
        <f>IF($I20="","",IFERROR(INDEX(DANH_MUC!$D$4:$D$1000,MATCH($I20,DANH_MUC!$C$4:$C$1000,0)),""))</f>
        <v/>
      </c>
      <c r="K20" s="21" t="n"/>
      <c r="L20" s="21" t="n"/>
      <c r="M20" s="20" t="n"/>
      <c r="N20" s="23" t="n"/>
      <c r="O20" s="21" t="n"/>
    </row>
    <row r="21">
      <c r="A21" s="19">
        <f>IF($C21="","CHƯA NHẬP",IF($B21="","HỢP LỆ","LỖI"))</f>
        <v/>
      </c>
      <c r="B21" s="19">
        <f>IF($C21="","",TEXTJOIN(" | ",TRUE,IF(COUNTIF('01_HO_SO'!$C$6:$C$505,$C21)=0,"Mã chưa có ở Bước 1",""),IF(COUNTIF($C$6:$C$505,$C21)&gt;1,"Trùng mã trong thông tin công việc",""),IF($D21="","Thiếu trạng thái làm việc",""),IF($E21="","Thiếu ngày vào công ty",IF(OR(NOT(ISNUMBER($E21)),$E21&gt;TODAY()),"Ngày vào công ty không hợp lệ","")),IF($G21="","Thiếu phòng ban",""),IF($I21="","Thiếu chức danh",""),IF(AND($M21&lt;&gt;"",COUNTIF('01_HO_SO'!$C$6:$C$505,$M21)=0),"Mã quản lý không tồn tại",""),IF(AND($M21&lt;&gt;"",$M21=$C21),"Không thể tự quản lý chính mình",""),IF(OR($N21&lt;0,$N21&gt;1000000000),"Lương cơ bản ngoài phạm vi","")))</f>
        <v/>
      </c>
      <c r="C21" s="20" t="n"/>
      <c r="D21" s="21" t="n"/>
      <c r="E21" s="22" t="n"/>
      <c r="F21" s="21" t="n"/>
      <c r="G21" s="21" t="n"/>
      <c r="H21" s="21" t="n"/>
      <c r="I21" s="21" t="n"/>
      <c r="J21" s="19">
        <f>IF($I21="","",IFERROR(INDEX(DANH_MUC!$D$4:$D$1000,MATCH($I21,DANH_MUC!$C$4:$C$1000,0)),""))</f>
        <v/>
      </c>
      <c r="K21" s="21" t="n"/>
      <c r="L21" s="21" t="n"/>
      <c r="M21" s="20" t="n"/>
      <c r="N21" s="23" t="n"/>
      <c r="O21" s="21" t="n"/>
    </row>
    <row r="22">
      <c r="A22" s="19">
        <f>IF($C22="","CHƯA NHẬP",IF($B22="","HỢP LỆ","LỖI"))</f>
        <v/>
      </c>
      <c r="B22" s="19">
        <f>IF($C22="","",TEXTJOIN(" | ",TRUE,IF(COUNTIF('01_HO_SO'!$C$6:$C$505,$C22)=0,"Mã chưa có ở Bước 1",""),IF(COUNTIF($C$6:$C$505,$C22)&gt;1,"Trùng mã trong thông tin công việc",""),IF($D22="","Thiếu trạng thái làm việc",""),IF($E22="","Thiếu ngày vào công ty",IF(OR(NOT(ISNUMBER($E22)),$E22&gt;TODAY()),"Ngày vào công ty không hợp lệ","")),IF($G22="","Thiếu phòng ban",""),IF($I22="","Thiếu chức danh",""),IF(AND($M22&lt;&gt;"",COUNTIF('01_HO_SO'!$C$6:$C$505,$M22)=0),"Mã quản lý không tồn tại",""),IF(AND($M22&lt;&gt;"",$M22=$C22),"Không thể tự quản lý chính mình",""),IF(OR($N22&lt;0,$N22&gt;1000000000),"Lương cơ bản ngoài phạm vi","")))</f>
        <v/>
      </c>
      <c r="C22" s="20" t="n"/>
      <c r="D22" s="21" t="n"/>
      <c r="E22" s="22" t="n"/>
      <c r="F22" s="21" t="n"/>
      <c r="G22" s="21" t="n"/>
      <c r="H22" s="21" t="n"/>
      <c r="I22" s="21" t="n"/>
      <c r="J22" s="19">
        <f>IF($I22="","",IFERROR(INDEX(DANH_MUC!$D$4:$D$1000,MATCH($I22,DANH_MUC!$C$4:$C$1000,0)),""))</f>
        <v/>
      </c>
      <c r="K22" s="21" t="n"/>
      <c r="L22" s="21" t="n"/>
      <c r="M22" s="20" t="n"/>
      <c r="N22" s="23" t="n"/>
      <c r="O22" s="21" t="n"/>
    </row>
    <row r="23">
      <c r="A23" s="19">
        <f>IF($C23="","CHƯA NHẬP",IF($B23="","HỢP LỆ","LỖI"))</f>
        <v/>
      </c>
      <c r="B23" s="19">
        <f>IF($C23="","",TEXTJOIN(" | ",TRUE,IF(COUNTIF('01_HO_SO'!$C$6:$C$505,$C23)=0,"Mã chưa có ở Bước 1",""),IF(COUNTIF($C$6:$C$505,$C23)&gt;1,"Trùng mã trong thông tin công việc",""),IF($D23="","Thiếu trạng thái làm việc",""),IF($E23="","Thiếu ngày vào công ty",IF(OR(NOT(ISNUMBER($E23)),$E23&gt;TODAY()),"Ngày vào công ty không hợp lệ","")),IF($G23="","Thiếu phòng ban",""),IF($I23="","Thiếu chức danh",""),IF(AND($M23&lt;&gt;"",COUNTIF('01_HO_SO'!$C$6:$C$505,$M23)=0),"Mã quản lý không tồn tại",""),IF(AND($M23&lt;&gt;"",$M23=$C23),"Không thể tự quản lý chính mình",""),IF(OR($N23&lt;0,$N23&gt;1000000000),"Lương cơ bản ngoài phạm vi","")))</f>
        <v/>
      </c>
      <c r="C23" s="20" t="n"/>
      <c r="D23" s="21" t="n"/>
      <c r="E23" s="22" t="n"/>
      <c r="F23" s="21" t="n"/>
      <c r="G23" s="21" t="n"/>
      <c r="H23" s="21" t="n"/>
      <c r="I23" s="21" t="n"/>
      <c r="J23" s="19">
        <f>IF($I23="","",IFERROR(INDEX(DANH_MUC!$D$4:$D$1000,MATCH($I23,DANH_MUC!$C$4:$C$1000,0)),""))</f>
        <v/>
      </c>
      <c r="K23" s="21" t="n"/>
      <c r="L23" s="21" t="n"/>
      <c r="M23" s="20" t="n"/>
      <c r="N23" s="23" t="n"/>
      <c r="O23" s="21" t="n"/>
    </row>
    <row r="24">
      <c r="A24" s="19">
        <f>IF($C24="","CHƯA NHẬP",IF($B24="","HỢP LỆ","LỖI"))</f>
        <v/>
      </c>
      <c r="B24" s="19">
        <f>IF($C24="","",TEXTJOIN(" | ",TRUE,IF(COUNTIF('01_HO_SO'!$C$6:$C$505,$C24)=0,"Mã chưa có ở Bước 1",""),IF(COUNTIF($C$6:$C$505,$C24)&gt;1,"Trùng mã trong thông tin công việc",""),IF($D24="","Thiếu trạng thái làm việc",""),IF($E24="","Thiếu ngày vào công ty",IF(OR(NOT(ISNUMBER($E24)),$E24&gt;TODAY()),"Ngày vào công ty không hợp lệ","")),IF($G24="","Thiếu phòng ban",""),IF($I24="","Thiếu chức danh",""),IF(AND($M24&lt;&gt;"",COUNTIF('01_HO_SO'!$C$6:$C$505,$M24)=0),"Mã quản lý không tồn tại",""),IF(AND($M24&lt;&gt;"",$M24=$C24),"Không thể tự quản lý chính mình",""),IF(OR($N24&lt;0,$N24&gt;1000000000),"Lương cơ bản ngoài phạm vi","")))</f>
        <v/>
      </c>
      <c r="C24" s="20" t="n"/>
      <c r="D24" s="21" t="n"/>
      <c r="E24" s="22" t="n"/>
      <c r="F24" s="21" t="n"/>
      <c r="G24" s="21" t="n"/>
      <c r="H24" s="21" t="n"/>
      <c r="I24" s="21" t="n"/>
      <c r="J24" s="19">
        <f>IF($I24="","",IFERROR(INDEX(DANH_MUC!$D$4:$D$1000,MATCH($I24,DANH_MUC!$C$4:$C$1000,0)),""))</f>
        <v/>
      </c>
      <c r="K24" s="21" t="n"/>
      <c r="L24" s="21" t="n"/>
      <c r="M24" s="20" t="n"/>
      <c r="N24" s="23" t="n"/>
      <c r="O24" s="21" t="n"/>
    </row>
    <row r="25">
      <c r="A25" s="19">
        <f>IF($C25="","CHƯA NHẬP",IF($B25="","HỢP LỆ","LỖI"))</f>
        <v/>
      </c>
      <c r="B25" s="19">
        <f>IF($C25="","",TEXTJOIN(" | ",TRUE,IF(COUNTIF('01_HO_SO'!$C$6:$C$505,$C25)=0,"Mã chưa có ở Bước 1",""),IF(COUNTIF($C$6:$C$505,$C25)&gt;1,"Trùng mã trong thông tin công việc",""),IF($D25="","Thiếu trạng thái làm việc",""),IF($E25="","Thiếu ngày vào công ty",IF(OR(NOT(ISNUMBER($E25)),$E25&gt;TODAY()),"Ngày vào công ty không hợp lệ","")),IF($G25="","Thiếu phòng ban",""),IF($I25="","Thiếu chức danh",""),IF(AND($M25&lt;&gt;"",COUNTIF('01_HO_SO'!$C$6:$C$505,$M25)=0),"Mã quản lý không tồn tại",""),IF(AND($M25&lt;&gt;"",$M25=$C25),"Không thể tự quản lý chính mình",""),IF(OR($N25&lt;0,$N25&gt;1000000000),"Lương cơ bản ngoài phạm vi","")))</f>
        <v/>
      </c>
      <c r="C25" s="20" t="n"/>
      <c r="D25" s="21" t="n"/>
      <c r="E25" s="22" t="n"/>
      <c r="F25" s="21" t="n"/>
      <c r="G25" s="21" t="n"/>
      <c r="H25" s="21" t="n"/>
      <c r="I25" s="21" t="n"/>
      <c r="J25" s="19">
        <f>IF($I25="","",IFERROR(INDEX(DANH_MUC!$D$4:$D$1000,MATCH($I25,DANH_MUC!$C$4:$C$1000,0)),""))</f>
        <v/>
      </c>
      <c r="K25" s="21" t="n"/>
      <c r="L25" s="21" t="n"/>
      <c r="M25" s="20" t="n"/>
      <c r="N25" s="23" t="n"/>
      <c r="O25" s="21" t="n"/>
    </row>
    <row r="26">
      <c r="A26" s="19">
        <f>IF($C26="","CHƯA NHẬP",IF($B26="","HỢP LỆ","LỖI"))</f>
        <v/>
      </c>
      <c r="B26" s="19">
        <f>IF($C26="","",TEXTJOIN(" | ",TRUE,IF(COUNTIF('01_HO_SO'!$C$6:$C$505,$C26)=0,"Mã chưa có ở Bước 1",""),IF(COUNTIF($C$6:$C$505,$C26)&gt;1,"Trùng mã trong thông tin công việc",""),IF($D26="","Thiếu trạng thái làm việc",""),IF($E26="","Thiếu ngày vào công ty",IF(OR(NOT(ISNUMBER($E26)),$E26&gt;TODAY()),"Ngày vào công ty không hợp lệ","")),IF($G26="","Thiếu phòng ban",""),IF($I26="","Thiếu chức danh",""),IF(AND($M26&lt;&gt;"",COUNTIF('01_HO_SO'!$C$6:$C$505,$M26)=0),"Mã quản lý không tồn tại",""),IF(AND($M26&lt;&gt;"",$M26=$C26),"Không thể tự quản lý chính mình",""),IF(OR($N26&lt;0,$N26&gt;1000000000),"Lương cơ bản ngoài phạm vi","")))</f>
        <v/>
      </c>
      <c r="C26" s="20" t="n"/>
      <c r="D26" s="21" t="n"/>
      <c r="E26" s="22" t="n"/>
      <c r="F26" s="21" t="n"/>
      <c r="G26" s="21" t="n"/>
      <c r="H26" s="21" t="n"/>
      <c r="I26" s="21" t="n"/>
      <c r="J26" s="19">
        <f>IF($I26="","",IFERROR(INDEX(DANH_MUC!$D$4:$D$1000,MATCH($I26,DANH_MUC!$C$4:$C$1000,0)),""))</f>
        <v/>
      </c>
      <c r="K26" s="21" t="n"/>
      <c r="L26" s="21" t="n"/>
      <c r="M26" s="20" t="n"/>
      <c r="N26" s="23" t="n"/>
      <c r="O26" s="21" t="n"/>
    </row>
    <row r="27">
      <c r="A27" s="19">
        <f>IF($C27="","CHƯA NHẬP",IF($B27="","HỢP LỆ","LỖI"))</f>
        <v/>
      </c>
      <c r="B27" s="19">
        <f>IF($C27="","",TEXTJOIN(" | ",TRUE,IF(COUNTIF('01_HO_SO'!$C$6:$C$505,$C27)=0,"Mã chưa có ở Bước 1",""),IF(COUNTIF($C$6:$C$505,$C27)&gt;1,"Trùng mã trong thông tin công việc",""),IF($D27="","Thiếu trạng thái làm việc",""),IF($E27="","Thiếu ngày vào công ty",IF(OR(NOT(ISNUMBER($E27)),$E27&gt;TODAY()),"Ngày vào công ty không hợp lệ","")),IF($G27="","Thiếu phòng ban",""),IF($I27="","Thiếu chức danh",""),IF(AND($M27&lt;&gt;"",COUNTIF('01_HO_SO'!$C$6:$C$505,$M27)=0),"Mã quản lý không tồn tại",""),IF(AND($M27&lt;&gt;"",$M27=$C27),"Không thể tự quản lý chính mình",""),IF(OR($N27&lt;0,$N27&gt;1000000000),"Lương cơ bản ngoài phạm vi","")))</f>
        <v/>
      </c>
      <c r="C27" s="20" t="n"/>
      <c r="D27" s="21" t="n"/>
      <c r="E27" s="22" t="n"/>
      <c r="F27" s="21" t="n"/>
      <c r="G27" s="21" t="n"/>
      <c r="H27" s="21" t="n"/>
      <c r="I27" s="21" t="n"/>
      <c r="J27" s="19">
        <f>IF($I27="","",IFERROR(INDEX(DANH_MUC!$D$4:$D$1000,MATCH($I27,DANH_MUC!$C$4:$C$1000,0)),""))</f>
        <v/>
      </c>
      <c r="K27" s="21" t="n"/>
      <c r="L27" s="21" t="n"/>
      <c r="M27" s="20" t="n"/>
      <c r="N27" s="23" t="n"/>
      <c r="O27" s="21" t="n"/>
    </row>
    <row r="28">
      <c r="A28" s="19">
        <f>IF($C28="","CHƯA NHẬP",IF($B28="","HỢP LỆ","LỖI"))</f>
        <v/>
      </c>
      <c r="B28" s="19">
        <f>IF($C28="","",TEXTJOIN(" | ",TRUE,IF(COUNTIF('01_HO_SO'!$C$6:$C$505,$C28)=0,"Mã chưa có ở Bước 1",""),IF(COUNTIF($C$6:$C$505,$C28)&gt;1,"Trùng mã trong thông tin công việc",""),IF($D28="","Thiếu trạng thái làm việc",""),IF($E28="","Thiếu ngày vào công ty",IF(OR(NOT(ISNUMBER($E28)),$E28&gt;TODAY()),"Ngày vào công ty không hợp lệ","")),IF($G28="","Thiếu phòng ban",""),IF($I28="","Thiếu chức danh",""),IF(AND($M28&lt;&gt;"",COUNTIF('01_HO_SO'!$C$6:$C$505,$M28)=0),"Mã quản lý không tồn tại",""),IF(AND($M28&lt;&gt;"",$M28=$C28),"Không thể tự quản lý chính mình",""),IF(OR($N28&lt;0,$N28&gt;1000000000),"Lương cơ bản ngoài phạm vi","")))</f>
        <v/>
      </c>
      <c r="C28" s="20" t="n"/>
      <c r="D28" s="21" t="n"/>
      <c r="E28" s="22" t="n"/>
      <c r="F28" s="21" t="n"/>
      <c r="G28" s="21" t="n"/>
      <c r="H28" s="21" t="n"/>
      <c r="I28" s="21" t="n"/>
      <c r="J28" s="19">
        <f>IF($I28="","",IFERROR(INDEX(DANH_MUC!$D$4:$D$1000,MATCH($I28,DANH_MUC!$C$4:$C$1000,0)),""))</f>
        <v/>
      </c>
      <c r="K28" s="21" t="n"/>
      <c r="L28" s="21" t="n"/>
      <c r="M28" s="20" t="n"/>
      <c r="N28" s="23" t="n"/>
      <c r="O28" s="21" t="n"/>
    </row>
    <row r="29">
      <c r="A29" s="19">
        <f>IF($C29="","CHƯA NHẬP",IF($B29="","HỢP LỆ","LỖI"))</f>
        <v/>
      </c>
      <c r="B29" s="19">
        <f>IF($C29="","",TEXTJOIN(" | ",TRUE,IF(COUNTIF('01_HO_SO'!$C$6:$C$505,$C29)=0,"Mã chưa có ở Bước 1",""),IF(COUNTIF($C$6:$C$505,$C29)&gt;1,"Trùng mã trong thông tin công việc",""),IF($D29="","Thiếu trạng thái làm việc",""),IF($E29="","Thiếu ngày vào công ty",IF(OR(NOT(ISNUMBER($E29)),$E29&gt;TODAY()),"Ngày vào công ty không hợp lệ","")),IF($G29="","Thiếu phòng ban",""),IF($I29="","Thiếu chức danh",""),IF(AND($M29&lt;&gt;"",COUNTIF('01_HO_SO'!$C$6:$C$505,$M29)=0),"Mã quản lý không tồn tại",""),IF(AND($M29&lt;&gt;"",$M29=$C29),"Không thể tự quản lý chính mình",""),IF(OR($N29&lt;0,$N29&gt;1000000000),"Lương cơ bản ngoài phạm vi","")))</f>
        <v/>
      </c>
      <c r="C29" s="20" t="n"/>
      <c r="D29" s="21" t="n"/>
      <c r="E29" s="22" t="n"/>
      <c r="F29" s="21" t="n"/>
      <c r="G29" s="21" t="n"/>
      <c r="H29" s="21" t="n"/>
      <c r="I29" s="21" t="n"/>
      <c r="J29" s="19">
        <f>IF($I29="","",IFERROR(INDEX(DANH_MUC!$D$4:$D$1000,MATCH($I29,DANH_MUC!$C$4:$C$1000,0)),""))</f>
        <v/>
      </c>
      <c r="K29" s="21" t="n"/>
      <c r="L29" s="21" t="n"/>
      <c r="M29" s="20" t="n"/>
      <c r="N29" s="23" t="n"/>
      <c r="O29" s="21" t="n"/>
    </row>
    <row r="30">
      <c r="A30" s="19">
        <f>IF($C30="","CHƯA NHẬP",IF($B30="","HỢP LỆ","LỖI"))</f>
        <v/>
      </c>
      <c r="B30" s="19">
        <f>IF($C30="","",TEXTJOIN(" | ",TRUE,IF(COUNTIF('01_HO_SO'!$C$6:$C$505,$C30)=0,"Mã chưa có ở Bước 1",""),IF(COUNTIF($C$6:$C$505,$C30)&gt;1,"Trùng mã trong thông tin công việc",""),IF($D30="","Thiếu trạng thái làm việc",""),IF($E30="","Thiếu ngày vào công ty",IF(OR(NOT(ISNUMBER($E30)),$E30&gt;TODAY()),"Ngày vào công ty không hợp lệ","")),IF($G30="","Thiếu phòng ban",""),IF($I30="","Thiếu chức danh",""),IF(AND($M30&lt;&gt;"",COUNTIF('01_HO_SO'!$C$6:$C$505,$M30)=0),"Mã quản lý không tồn tại",""),IF(AND($M30&lt;&gt;"",$M30=$C30),"Không thể tự quản lý chính mình",""),IF(OR($N30&lt;0,$N30&gt;1000000000),"Lương cơ bản ngoài phạm vi","")))</f>
        <v/>
      </c>
      <c r="C30" s="20" t="n"/>
      <c r="D30" s="21" t="n"/>
      <c r="E30" s="22" t="n"/>
      <c r="F30" s="21" t="n"/>
      <c r="G30" s="21" t="n"/>
      <c r="H30" s="21" t="n"/>
      <c r="I30" s="21" t="n"/>
      <c r="J30" s="19">
        <f>IF($I30="","",IFERROR(INDEX(DANH_MUC!$D$4:$D$1000,MATCH($I30,DANH_MUC!$C$4:$C$1000,0)),""))</f>
        <v/>
      </c>
      <c r="K30" s="21" t="n"/>
      <c r="L30" s="21" t="n"/>
      <c r="M30" s="20" t="n"/>
      <c r="N30" s="23" t="n"/>
      <c r="O30" s="21" t="n"/>
    </row>
    <row r="31">
      <c r="A31" s="19">
        <f>IF($C31="","CHƯA NHẬP",IF($B31="","HỢP LỆ","LỖI"))</f>
        <v/>
      </c>
      <c r="B31" s="19">
        <f>IF($C31="","",TEXTJOIN(" | ",TRUE,IF(COUNTIF('01_HO_SO'!$C$6:$C$505,$C31)=0,"Mã chưa có ở Bước 1",""),IF(COUNTIF($C$6:$C$505,$C31)&gt;1,"Trùng mã trong thông tin công việc",""),IF($D31="","Thiếu trạng thái làm việc",""),IF($E31="","Thiếu ngày vào công ty",IF(OR(NOT(ISNUMBER($E31)),$E31&gt;TODAY()),"Ngày vào công ty không hợp lệ","")),IF($G31="","Thiếu phòng ban",""),IF($I31="","Thiếu chức danh",""),IF(AND($M31&lt;&gt;"",COUNTIF('01_HO_SO'!$C$6:$C$505,$M31)=0),"Mã quản lý không tồn tại",""),IF(AND($M31&lt;&gt;"",$M31=$C31),"Không thể tự quản lý chính mình",""),IF(OR($N31&lt;0,$N31&gt;1000000000),"Lương cơ bản ngoài phạm vi","")))</f>
        <v/>
      </c>
      <c r="C31" s="20" t="n"/>
      <c r="D31" s="21" t="n"/>
      <c r="E31" s="22" t="n"/>
      <c r="F31" s="21" t="n"/>
      <c r="G31" s="21" t="n"/>
      <c r="H31" s="21" t="n"/>
      <c r="I31" s="21" t="n"/>
      <c r="J31" s="19">
        <f>IF($I31="","",IFERROR(INDEX(DANH_MUC!$D$4:$D$1000,MATCH($I31,DANH_MUC!$C$4:$C$1000,0)),""))</f>
        <v/>
      </c>
      <c r="K31" s="21" t="n"/>
      <c r="L31" s="21" t="n"/>
      <c r="M31" s="20" t="n"/>
      <c r="N31" s="23" t="n"/>
      <c r="O31" s="21" t="n"/>
    </row>
    <row r="32">
      <c r="A32" s="19">
        <f>IF($C32="","CHƯA NHẬP",IF($B32="","HỢP LỆ","LỖI"))</f>
        <v/>
      </c>
      <c r="B32" s="19">
        <f>IF($C32="","",TEXTJOIN(" | ",TRUE,IF(COUNTIF('01_HO_SO'!$C$6:$C$505,$C32)=0,"Mã chưa có ở Bước 1",""),IF(COUNTIF($C$6:$C$505,$C32)&gt;1,"Trùng mã trong thông tin công việc",""),IF($D32="","Thiếu trạng thái làm việc",""),IF($E32="","Thiếu ngày vào công ty",IF(OR(NOT(ISNUMBER($E32)),$E32&gt;TODAY()),"Ngày vào công ty không hợp lệ","")),IF($G32="","Thiếu phòng ban",""),IF($I32="","Thiếu chức danh",""),IF(AND($M32&lt;&gt;"",COUNTIF('01_HO_SO'!$C$6:$C$505,$M32)=0),"Mã quản lý không tồn tại",""),IF(AND($M32&lt;&gt;"",$M32=$C32),"Không thể tự quản lý chính mình",""),IF(OR($N32&lt;0,$N32&gt;1000000000),"Lương cơ bản ngoài phạm vi","")))</f>
        <v/>
      </c>
      <c r="C32" s="20" t="n"/>
      <c r="D32" s="21" t="n"/>
      <c r="E32" s="22" t="n"/>
      <c r="F32" s="21" t="n"/>
      <c r="G32" s="21" t="n"/>
      <c r="H32" s="21" t="n"/>
      <c r="I32" s="21" t="n"/>
      <c r="J32" s="19">
        <f>IF($I32="","",IFERROR(INDEX(DANH_MUC!$D$4:$D$1000,MATCH($I32,DANH_MUC!$C$4:$C$1000,0)),""))</f>
        <v/>
      </c>
      <c r="K32" s="21" t="n"/>
      <c r="L32" s="21" t="n"/>
      <c r="M32" s="20" t="n"/>
      <c r="N32" s="23" t="n"/>
      <c r="O32" s="21" t="n"/>
    </row>
    <row r="33">
      <c r="A33" s="19">
        <f>IF($C33="","CHƯA NHẬP",IF($B33="","HỢP LỆ","LỖI"))</f>
        <v/>
      </c>
      <c r="B33" s="19">
        <f>IF($C33="","",TEXTJOIN(" | ",TRUE,IF(COUNTIF('01_HO_SO'!$C$6:$C$505,$C33)=0,"Mã chưa có ở Bước 1",""),IF(COUNTIF($C$6:$C$505,$C33)&gt;1,"Trùng mã trong thông tin công việc",""),IF($D33="","Thiếu trạng thái làm việc",""),IF($E33="","Thiếu ngày vào công ty",IF(OR(NOT(ISNUMBER($E33)),$E33&gt;TODAY()),"Ngày vào công ty không hợp lệ","")),IF($G33="","Thiếu phòng ban",""),IF($I33="","Thiếu chức danh",""),IF(AND($M33&lt;&gt;"",COUNTIF('01_HO_SO'!$C$6:$C$505,$M33)=0),"Mã quản lý không tồn tại",""),IF(AND($M33&lt;&gt;"",$M33=$C33),"Không thể tự quản lý chính mình",""),IF(OR($N33&lt;0,$N33&gt;1000000000),"Lương cơ bản ngoài phạm vi","")))</f>
        <v/>
      </c>
      <c r="C33" s="20" t="n"/>
      <c r="D33" s="21" t="n"/>
      <c r="E33" s="22" t="n"/>
      <c r="F33" s="21" t="n"/>
      <c r="G33" s="21" t="n"/>
      <c r="H33" s="21" t="n"/>
      <c r="I33" s="21" t="n"/>
      <c r="J33" s="19">
        <f>IF($I33="","",IFERROR(INDEX(DANH_MUC!$D$4:$D$1000,MATCH($I33,DANH_MUC!$C$4:$C$1000,0)),""))</f>
        <v/>
      </c>
      <c r="K33" s="21" t="n"/>
      <c r="L33" s="21" t="n"/>
      <c r="M33" s="20" t="n"/>
      <c r="N33" s="23" t="n"/>
      <c r="O33" s="21" t="n"/>
    </row>
    <row r="34">
      <c r="A34" s="19">
        <f>IF($C34="","CHƯA NHẬP",IF($B34="","HỢP LỆ","LỖI"))</f>
        <v/>
      </c>
      <c r="B34" s="19">
        <f>IF($C34="","",TEXTJOIN(" | ",TRUE,IF(COUNTIF('01_HO_SO'!$C$6:$C$505,$C34)=0,"Mã chưa có ở Bước 1",""),IF(COUNTIF($C$6:$C$505,$C34)&gt;1,"Trùng mã trong thông tin công việc",""),IF($D34="","Thiếu trạng thái làm việc",""),IF($E34="","Thiếu ngày vào công ty",IF(OR(NOT(ISNUMBER($E34)),$E34&gt;TODAY()),"Ngày vào công ty không hợp lệ","")),IF($G34="","Thiếu phòng ban",""),IF($I34="","Thiếu chức danh",""),IF(AND($M34&lt;&gt;"",COUNTIF('01_HO_SO'!$C$6:$C$505,$M34)=0),"Mã quản lý không tồn tại",""),IF(AND($M34&lt;&gt;"",$M34=$C34),"Không thể tự quản lý chính mình",""),IF(OR($N34&lt;0,$N34&gt;1000000000),"Lương cơ bản ngoài phạm vi","")))</f>
        <v/>
      </c>
      <c r="C34" s="20" t="n"/>
      <c r="D34" s="21" t="n"/>
      <c r="E34" s="22" t="n"/>
      <c r="F34" s="21" t="n"/>
      <c r="G34" s="21" t="n"/>
      <c r="H34" s="21" t="n"/>
      <c r="I34" s="21" t="n"/>
      <c r="J34" s="19">
        <f>IF($I34="","",IFERROR(INDEX(DANH_MUC!$D$4:$D$1000,MATCH($I34,DANH_MUC!$C$4:$C$1000,0)),""))</f>
        <v/>
      </c>
      <c r="K34" s="21" t="n"/>
      <c r="L34" s="21" t="n"/>
      <c r="M34" s="20" t="n"/>
      <c r="N34" s="23" t="n"/>
      <c r="O34" s="21" t="n"/>
    </row>
    <row r="35">
      <c r="A35" s="19">
        <f>IF($C35="","CHƯA NHẬP",IF($B35="","HỢP LỆ","LỖI"))</f>
        <v/>
      </c>
      <c r="B35" s="19">
        <f>IF($C35="","",TEXTJOIN(" | ",TRUE,IF(COUNTIF('01_HO_SO'!$C$6:$C$505,$C35)=0,"Mã chưa có ở Bước 1",""),IF(COUNTIF($C$6:$C$505,$C35)&gt;1,"Trùng mã trong thông tin công việc",""),IF($D35="","Thiếu trạng thái làm việc",""),IF($E35="","Thiếu ngày vào công ty",IF(OR(NOT(ISNUMBER($E35)),$E35&gt;TODAY()),"Ngày vào công ty không hợp lệ","")),IF($G35="","Thiếu phòng ban",""),IF($I35="","Thiếu chức danh",""),IF(AND($M35&lt;&gt;"",COUNTIF('01_HO_SO'!$C$6:$C$505,$M35)=0),"Mã quản lý không tồn tại",""),IF(AND($M35&lt;&gt;"",$M35=$C35),"Không thể tự quản lý chính mình",""),IF(OR($N35&lt;0,$N35&gt;1000000000),"Lương cơ bản ngoài phạm vi","")))</f>
        <v/>
      </c>
      <c r="C35" s="20" t="n"/>
      <c r="D35" s="21" t="n"/>
      <c r="E35" s="22" t="n"/>
      <c r="F35" s="21" t="n"/>
      <c r="G35" s="21" t="n"/>
      <c r="H35" s="21" t="n"/>
      <c r="I35" s="21" t="n"/>
      <c r="J35" s="19">
        <f>IF($I35="","",IFERROR(INDEX(DANH_MUC!$D$4:$D$1000,MATCH($I35,DANH_MUC!$C$4:$C$1000,0)),""))</f>
        <v/>
      </c>
      <c r="K35" s="21" t="n"/>
      <c r="L35" s="21" t="n"/>
      <c r="M35" s="20" t="n"/>
      <c r="N35" s="23" t="n"/>
      <c r="O35" s="21" t="n"/>
    </row>
    <row r="36">
      <c r="A36" s="19">
        <f>IF($C36="","CHƯA NHẬP",IF($B36="","HỢP LỆ","LỖI"))</f>
        <v/>
      </c>
      <c r="B36" s="19">
        <f>IF($C36="","",TEXTJOIN(" | ",TRUE,IF(COUNTIF('01_HO_SO'!$C$6:$C$505,$C36)=0,"Mã chưa có ở Bước 1",""),IF(COUNTIF($C$6:$C$505,$C36)&gt;1,"Trùng mã trong thông tin công việc",""),IF($D36="","Thiếu trạng thái làm việc",""),IF($E36="","Thiếu ngày vào công ty",IF(OR(NOT(ISNUMBER($E36)),$E36&gt;TODAY()),"Ngày vào công ty không hợp lệ","")),IF($G36="","Thiếu phòng ban",""),IF($I36="","Thiếu chức danh",""),IF(AND($M36&lt;&gt;"",COUNTIF('01_HO_SO'!$C$6:$C$505,$M36)=0),"Mã quản lý không tồn tại",""),IF(AND($M36&lt;&gt;"",$M36=$C36),"Không thể tự quản lý chính mình",""),IF(OR($N36&lt;0,$N36&gt;1000000000),"Lương cơ bản ngoài phạm vi","")))</f>
        <v/>
      </c>
      <c r="C36" s="20" t="n"/>
      <c r="D36" s="21" t="n"/>
      <c r="E36" s="22" t="n"/>
      <c r="F36" s="21" t="n"/>
      <c r="G36" s="21" t="n"/>
      <c r="H36" s="21" t="n"/>
      <c r="I36" s="21" t="n"/>
      <c r="J36" s="19">
        <f>IF($I36="","",IFERROR(INDEX(DANH_MUC!$D$4:$D$1000,MATCH($I36,DANH_MUC!$C$4:$C$1000,0)),""))</f>
        <v/>
      </c>
      <c r="K36" s="21" t="n"/>
      <c r="L36" s="21" t="n"/>
      <c r="M36" s="20" t="n"/>
      <c r="N36" s="23" t="n"/>
      <c r="O36" s="21" t="n"/>
    </row>
    <row r="37">
      <c r="A37" s="19">
        <f>IF($C37="","CHƯA NHẬP",IF($B37="","HỢP LỆ","LỖI"))</f>
        <v/>
      </c>
      <c r="B37" s="19">
        <f>IF($C37="","",TEXTJOIN(" | ",TRUE,IF(COUNTIF('01_HO_SO'!$C$6:$C$505,$C37)=0,"Mã chưa có ở Bước 1",""),IF(COUNTIF($C$6:$C$505,$C37)&gt;1,"Trùng mã trong thông tin công việc",""),IF($D37="","Thiếu trạng thái làm việc",""),IF($E37="","Thiếu ngày vào công ty",IF(OR(NOT(ISNUMBER($E37)),$E37&gt;TODAY()),"Ngày vào công ty không hợp lệ","")),IF($G37="","Thiếu phòng ban",""),IF($I37="","Thiếu chức danh",""),IF(AND($M37&lt;&gt;"",COUNTIF('01_HO_SO'!$C$6:$C$505,$M37)=0),"Mã quản lý không tồn tại",""),IF(AND($M37&lt;&gt;"",$M37=$C37),"Không thể tự quản lý chính mình",""),IF(OR($N37&lt;0,$N37&gt;1000000000),"Lương cơ bản ngoài phạm vi","")))</f>
        <v/>
      </c>
      <c r="C37" s="20" t="n"/>
      <c r="D37" s="21" t="n"/>
      <c r="E37" s="22" t="n"/>
      <c r="F37" s="21" t="n"/>
      <c r="G37" s="21" t="n"/>
      <c r="H37" s="21" t="n"/>
      <c r="I37" s="21" t="n"/>
      <c r="J37" s="19">
        <f>IF($I37="","",IFERROR(INDEX(DANH_MUC!$D$4:$D$1000,MATCH($I37,DANH_MUC!$C$4:$C$1000,0)),""))</f>
        <v/>
      </c>
      <c r="K37" s="21" t="n"/>
      <c r="L37" s="21" t="n"/>
      <c r="M37" s="20" t="n"/>
      <c r="N37" s="23" t="n"/>
      <c r="O37" s="21" t="n"/>
    </row>
    <row r="38">
      <c r="A38" s="19">
        <f>IF($C38="","CHƯA NHẬP",IF($B38="","HỢP LỆ","LỖI"))</f>
        <v/>
      </c>
      <c r="B38" s="19">
        <f>IF($C38="","",TEXTJOIN(" | ",TRUE,IF(COUNTIF('01_HO_SO'!$C$6:$C$505,$C38)=0,"Mã chưa có ở Bước 1",""),IF(COUNTIF($C$6:$C$505,$C38)&gt;1,"Trùng mã trong thông tin công việc",""),IF($D38="","Thiếu trạng thái làm việc",""),IF($E38="","Thiếu ngày vào công ty",IF(OR(NOT(ISNUMBER($E38)),$E38&gt;TODAY()),"Ngày vào công ty không hợp lệ","")),IF($G38="","Thiếu phòng ban",""),IF($I38="","Thiếu chức danh",""),IF(AND($M38&lt;&gt;"",COUNTIF('01_HO_SO'!$C$6:$C$505,$M38)=0),"Mã quản lý không tồn tại",""),IF(AND($M38&lt;&gt;"",$M38=$C38),"Không thể tự quản lý chính mình",""),IF(OR($N38&lt;0,$N38&gt;1000000000),"Lương cơ bản ngoài phạm vi","")))</f>
        <v/>
      </c>
      <c r="C38" s="20" t="n"/>
      <c r="D38" s="21" t="n"/>
      <c r="E38" s="22" t="n"/>
      <c r="F38" s="21" t="n"/>
      <c r="G38" s="21" t="n"/>
      <c r="H38" s="21" t="n"/>
      <c r="I38" s="21" t="n"/>
      <c r="J38" s="19">
        <f>IF($I38="","",IFERROR(INDEX(DANH_MUC!$D$4:$D$1000,MATCH($I38,DANH_MUC!$C$4:$C$1000,0)),""))</f>
        <v/>
      </c>
      <c r="K38" s="21" t="n"/>
      <c r="L38" s="21" t="n"/>
      <c r="M38" s="20" t="n"/>
      <c r="N38" s="23" t="n"/>
      <c r="O38" s="21" t="n"/>
    </row>
    <row r="39">
      <c r="A39" s="19">
        <f>IF($C39="","CHƯA NHẬP",IF($B39="","HỢP LỆ","LỖI"))</f>
        <v/>
      </c>
      <c r="B39" s="19">
        <f>IF($C39="","",TEXTJOIN(" | ",TRUE,IF(COUNTIF('01_HO_SO'!$C$6:$C$505,$C39)=0,"Mã chưa có ở Bước 1",""),IF(COUNTIF($C$6:$C$505,$C39)&gt;1,"Trùng mã trong thông tin công việc",""),IF($D39="","Thiếu trạng thái làm việc",""),IF($E39="","Thiếu ngày vào công ty",IF(OR(NOT(ISNUMBER($E39)),$E39&gt;TODAY()),"Ngày vào công ty không hợp lệ","")),IF($G39="","Thiếu phòng ban",""),IF($I39="","Thiếu chức danh",""),IF(AND($M39&lt;&gt;"",COUNTIF('01_HO_SO'!$C$6:$C$505,$M39)=0),"Mã quản lý không tồn tại",""),IF(AND($M39&lt;&gt;"",$M39=$C39),"Không thể tự quản lý chính mình",""),IF(OR($N39&lt;0,$N39&gt;1000000000),"Lương cơ bản ngoài phạm vi","")))</f>
        <v/>
      </c>
      <c r="C39" s="20" t="n"/>
      <c r="D39" s="21" t="n"/>
      <c r="E39" s="22" t="n"/>
      <c r="F39" s="21" t="n"/>
      <c r="G39" s="21" t="n"/>
      <c r="H39" s="21" t="n"/>
      <c r="I39" s="21" t="n"/>
      <c r="J39" s="19">
        <f>IF($I39="","",IFERROR(INDEX(DANH_MUC!$D$4:$D$1000,MATCH($I39,DANH_MUC!$C$4:$C$1000,0)),""))</f>
        <v/>
      </c>
      <c r="K39" s="21" t="n"/>
      <c r="L39" s="21" t="n"/>
      <c r="M39" s="20" t="n"/>
      <c r="N39" s="23" t="n"/>
      <c r="O39" s="21" t="n"/>
    </row>
    <row r="40">
      <c r="A40" s="19">
        <f>IF($C40="","CHƯA NHẬP",IF($B40="","HỢP LỆ","LỖI"))</f>
        <v/>
      </c>
      <c r="B40" s="19">
        <f>IF($C40="","",TEXTJOIN(" | ",TRUE,IF(COUNTIF('01_HO_SO'!$C$6:$C$505,$C40)=0,"Mã chưa có ở Bước 1",""),IF(COUNTIF($C$6:$C$505,$C40)&gt;1,"Trùng mã trong thông tin công việc",""),IF($D40="","Thiếu trạng thái làm việc",""),IF($E40="","Thiếu ngày vào công ty",IF(OR(NOT(ISNUMBER($E40)),$E40&gt;TODAY()),"Ngày vào công ty không hợp lệ","")),IF($G40="","Thiếu phòng ban",""),IF($I40="","Thiếu chức danh",""),IF(AND($M40&lt;&gt;"",COUNTIF('01_HO_SO'!$C$6:$C$505,$M40)=0),"Mã quản lý không tồn tại",""),IF(AND($M40&lt;&gt;"",$M40=$C40),"Không thể tự quản lý chính mình",""),IF(OR($N40&lt;0,$N40&gt;1000000000),"Lương cơ bản ngoài phạm vi","")))</f>
        <v/>
      </c>
      <c r="C40" s="20" t="n"/>
      <c r="D40" s="21" t="n"/>
      <c r="E40" s="22" t="n"/>
      <c r="F40" s="21" t="n"/>
      <c r="G40" s="21" t="n"/>
      <c r="H40" s="21" t="n"/>
      <c r="I40" s="21" t="n"/>
      <c r="J40" s="19">
        <f>IF($I40="","",IFERROR(INDEX(DANH_MUC!$D$4:$D$1000,MATCH($I40,DANH_MUC!$C$4:$C$1000,0)),""))</f>
        <v/>
      </c>
      <c r="K40" s="21" t="n"/>
      <c r="L40" s="21" t="n"/>
      <c r="M40" s="20" t="n"/>
      <c r="N40" s="23" t="n"/>
      <c r="O40" s="21" t="n"/>
    </row>
    <row r="41">
      <c r="A41" s="19">
        <f>IF($C41="","CHƯA NHẬP",IF($B41="","HỢP LỆ","LỖI"))</f>
        <v/>
      </c>
      <c r="B41" s="19">
        <f>IF($C41="","",TEXTJOIN(" | ",TRUE,IF(COUNTIF('01_HO_SO'!$C$6:$C$505,$C41)=0,"Mã chưa có ở Bước 1",""),IF(COUNTIF($C$6:$C$505,$C41)&gt;1,"Trùng mã trong thông tin công việc",""),IF($D41="","Thiếu trạng thái làm việc",""),IF($E41="","Thiếu ngày vào công ty",IF(OR(NOT(ISNUMBER($E41)),$E41&gt;TODAY()),"Ngày vào công ty không hợp lệ","")),IF($G41="","Thiếu phòng ban",""),IF($I41="","Thiếu chức danh",""),IF(AND($M41&lt;&gt;"",COUNTIF('01_HO_SO'!$C$6:$C$505,$M41)=0),"Mã quản lý không tồn tại",""),IF(AND($M41&lt;&gt;"",$M41=$C41),"Không thể tự quản lý chính mình",""),IF(OR($N41&lt;0,$N41&gt;1000000000),"Lương cơ bản ngoài phạm vi","")))</f>
        <v/>
      </c>
      <c r="C41" s="20" t="n"/>
      <c r="D41" s="21" t="n"/>
      <c r="E41" s="22" t="n"/>
      <c r="F41" s="21" t="n"/>
      <c r="G41" s="21" t="n"/>
      <c r="H41" s="21" t="n"/>
      <c r="I41" s="21" t="n"/>
      <c r="J41" s="19">
        <f>IF($I41="","",IFERROR(INDEX(DANH_MUC!$D$4:$D$1000,MATCH($I41,DANH_MUC!$C$4:$C$1000,0)),""))</f>
        <v/>
      </c>
      <c r="K41" s="21" t="n"/>
      <c r="L41" s="21" t="n"/>
      <c r="M41" s="20" t="n"/>
      <c r="N41" s="23" t="n"/>
      <c r="O41" s="21" t="n"/>
    </row>
    <row r="42">
      <c r="A42" s="19">
        <f>IF($C42="","CHƯA NHẬP",IF($B42="","HỢP LỆ","LỖI"))</f>
        <v/>
      </c>
      <c r="B42" s="19">
        <f>IF($C42="","",TEXTJOIN(" | ",TRUE,IF(COUNTIF('01_HO_SO'!$C$6:$C$505,$C42)=0,"Mã chưa có ở Bước 1",""),IF(COUNTIF($C$6:$C$505,$C42)&gt;1,"Trùng mã trong thông tin công việc",""),IF($D42="","Thiếu trạng thái làm việc",""),IF($E42="","Thiếu ngày vào công ty",IF(OR(NOT(ISNUMBER($E42)),$E42&gt;TODAY()),"Ngày vào công ty không hợp lệ","")),IF($G42="","Thiếu phòng ban",""),IF($I42="","Thiếu chức danh",""),IF(AND($M42&lt;&gt;"",COUNTIF('01_HO_SO'!$C$6:$C$505,$M42)=0),"Mã quản lý không tồn tại",""),IF(AND($M42&lt;&gt;"",$M42=$C42),"Không thể tự quản lý chính mình",""),IF(OR($N42&lt;0,$N42&gt;1000000000),"Lương cơ bản ngoài phạm vi","")))</f>
        <v/>
      </c>
      <c r="C42" s="20" t="n"/>
      <c r="D42" s="21" t="n"/>
      <c r="E42" s="22" t="n"/>
      <c r="F42" s="21" t="n"/>
      <c r="G42" s="21" t="n"/>
      <c r="H42" s="21" t="n"/>
      <c r="I42" s="21" t="n"/>
      <c r="J42" s="19">
        <f>IF($I42="","",IFERROR(INDEX(DANH_MUC!$D$4:$D$1000,MATCH($I42,DANH_MUC!$C$4:$C$1000,0)),""))</f>
        <v/>
      </c>
      <c r="K42" s="21" t="n"/>
      <c r="L42" s="21" t="n"/>
      <c r="M42" s="20" t="n"/>
      <c r="N42" s="23" t="n"/>
      <c r="O42" s="21" t="n"/>
    </row>
    <row r="43">
      <c r="A43" s="19">
        <f>IF($C43="","CHƯA NHẬP",IF($B43="","HỢP LỆ","LỖI"))</f>
        <v/>
      </c>
      <c r="B43" s="19">
        <f>IF($C43="","",TEXTJOIN(" | ",TRUE,IF(COUNTIF('01_HO_SO'!$C$6:$C$505,$C43)=0,"Mã chưa có ở Bước 1",""),IF(COUNTIF($C$6:$C$505,$C43)&gt;1,"Trùng mã trong thông tin công việc",""),IF($D43="","Thiếu trạng thái làm việc",""),IF($E43="","Thiếu ngày vào công ty",IF(OR(NOT(ISNUMBER($E43)),$E43&gt;TODAY()),"Ngày vào công ty không hợp lệ","")),IF($G43="","Thiếu phòng ban",""),IF($I43="","Thiếu chức danh",""),IF(AND($M43&lt;&gt;"",COUNTIF('01_HO_SO'!$C$6:$C$505,$M43)=0),"Mã quản lý không tồn tại",""),IF(AND($M43&lt;&gt;"",$M43=$C43),"Không thể tự quản lý chính mình",""),IF(OR($N43&lt;0,$N43&gt;1000000000),"Lương cơ bản ngoài phạm vi","")))</f>
        <v/>
      </c>
      <c r="C43" s="20" t="n"/>
      <c r="D43" s="21" t="n"/>
      <c r="E43" s="22" t="n"/>
      <c r="F43" s="21" t="n"/>
      <c r="G43" s="21" t="n"/>
      <c r="H43" s="21" t="n"/>
      <c r="I43" s="21" t="n"/>
      <c r="J43" s="19">
        <f>IF($I43="","",IFERROR(INDEX(DANH_MUC!$D$4:$D$1000,MATCH($I43,DANH_MUC!$C$4:$C$1000,0)),""))</f>
        <v/>
      </c>
      <c r="K43" s="21" t="n"/>
      <c r="L43" s="21" t="n"/>
      <c r="M43" s="20" t="n"/>
      <c r="N43" s="23" t="n"/>
      <c r="O43" s="21" t="n"/>
    </row>
    <row r="44">
      <c r="A44" s="19">
        <f>IF($C44="","CHƯA NHẬP",IF($B44="","HỢP LỆ","LỖI"))</f>
        <v/>
      </c>
      <c r="B44" s="19">
        <f>IF($C44="","",TEXTJOIN(" | ",TRUE,IF(COUNTIF('01_HO_SO'!$C$6:$C$505,$C44)=0,"Mã chưa có ở Bước 1",""),IF(COUNTIF($C$6:$C$505,$C44)&gt;1,"Trùng mã trong thông tin công việc",""),IF($D44="","Thiếu trạng thái làm việc",""),IF($E44="","Thiếu ngày vào công ty",IF(OR(NOT(ISNUMBER($E44)),$E44&gt;TODAY()),"Ngày vào công ty không hợp lệ","")),IF($G44="","Thiếu phòng ban",""),IF($I44="","Thiếu chức danh",""),IF(AND($M44&lt;&gt;"",COUNTIF('01_HO_SO'!$C$6:$C$505,$M44)=0),"Mã quản lý không tồn tại",""),IF(AND($M44&lt;&gt;"",$M44=$C44),"Không thể tự quản lý chính mình",""),IF(OR($N44&lt;0,$N44&gt;1000000000),"Lương cơ bản ngoài phạm vi","")))</f>
        <v/>
      </c>
      <c r="C44" s="20" t="n"/>
      <c r="D44" s="21" t="n"/>
      <c r="E44" s="22" t="n"/>
      <c r="F44" s="21" t="n"/>
      <c r="G44" s="21" t="n"/>
      <c r="H44" s="21" t="n"/>
      <c r="I44" s="21" t="n"/>
      <c r="J44" s="19">
        <f>IF($I44="","",IFERROR(INDEX(DANH_MUC!$D$4:$D$1000,MATCH($I44,DANH_MUC!$C$4:$C$1000,0)),""))</f>
        <v/>
      </c>
      <c r="K44" s="21" t="n"/>
      <c r="L44" s="21" t="n"/>
      <c r="M44" s="20" t="n"/>
      <c r="N44" s="23" t="n"/>
      <c r="O44" s="21" t="n"/>
    </row>
    <row r="45">
      <c r="A45" s="19">
        <f>IF($C45="","CHƯA NHẬP",IF($B45="","HỢP LỆ","LỖI"))</f>
        <v/>
      </c>
      <c r="B45" s="19">
        <f>IF($C45="","",TEXTJOIN(" | ",TRUE,IF(COUNTIF('01_HO_SO'!$C$6:$C$505,$C45)=0,"Mã chưa có ở Bước 1",""),IF(COUNTIF($C$6:$C$505,$C45)&gt;1,"Trùng mã trong thông tin công việc",""),IF($D45="","Thiếu trạng thái làm việc",""),IF($E45="","Thiếu ngày vào công ty",IF(OR(NOT(ISNUMBER($E45)),$E45&gt;TODAY()),"Ngày vào công ty không hợp lệ","")),IF($G45="","Thiếu phòng ban",""),IF($I45="","Thiếu chức danh",""),IF(AND($M45&lt;&gt;"",COUNTIF('01_HO_SO'!$C$6:$C$505,$M45)=0),"Mã quản lý không tồn tại",""),IF(AND($M45&lt;&gt;"",$M45=$C45),"Không thể tự quản lý chính mình",""),IF(OR($N45&lt;0,$N45&gt;1000000000),"Lương cơ bản ngoài phạm vi","")))</f>
        <v/>
      </c>
      <c r="C45" s="20" t="n"/>
      <c r="D45" s="21" t="n"/>
      <c r="E45" s="22" t="n"/>
      <c r="F45" s="21" t="n"/>
      <c r="G45" s="21" t="n"/>
      <c r="H45" s="21" t="n"/>
      <c r="I45" s="21" t="n"/>
      <c r="J45" s="19">
        <f>IF($I45="","",IFERROR(INDEX(DANH_MUC!$D$4:$D$1000,MATCH($I45,DANH_MUC!$C$4:$C$1000,0)),""))</f>
        <v/>
      </c>
      <c r="K45" s="21" t="n"/>
      <c r="L45" s="21" t="n"/>
      <c r="M45" s="20" t="n"/>
      <c r="N45" s="23" t="n"/>
      <c r="O45" s="21" t="n"/>
    </row>
    <row r="46">
      <c r="A46" s="19">
        <f>IF($C46="","CHƯA NHẬP",IF($B46="","HỢP LỆ","LỖI"))</f>
        <v/>
      </c>
      <c r="B46" s="19">
        <f>IF($C46="","",TEXTJOIN(" | ",TRUE,IF(COUNTIF('01_HO_SO'!$C$6:$C$505,$C46)=0,"Mã chưa có ở Bước 1",""),IF(COUNTIF($C$6:$C$505,$C46)&gt;1,"Trùng mã trong thông tin công việc",""),IF($D46="","Thiếu trạng thái làm việc",""),IF($E46="","Thiếu ngày vào công ty",IF(OR(NOT(ISNUMBER($E46)),$E46&gt;TODAY()),"Ngày vào công ty không hợp lệ","")),IF($G46="","Thiếu phòng ban",""),IF($I46="","Thiếu chức danh",""),IF(AND($M46&lt;&gt;"",COUNTIF('01_HO_SO'!$C$6:$C$505,$M46)=0),"Mã quản lý không tồn tại",""),IF(AND($M46&lt;&gt;"",$M46=$C46),"Không thể tự quản lý chính mình",""),IF(OR($N46&lt;0,$N46&gt;1000000000),"Lương cơ bản ngoài phạm vi","")))</f>
        <v/>
      </c>
      <c r="C46" s="20" t="n"/>
      <c r="D46" s="21" t="n"/>
      <c r="E46" s="22" t="n"/>
      <c r="F46" s="21" t="n"/>
      <c r="G46" s="21" t="n"/>
      <c r="H46" s="21" t="n"/>
      <c r="I46" s="21" t="n"/>
      <c r="J46" s="19">
        <f>IF($I46="","",IFERROR(INDEX(DANH_MUC!$D$4:$D$1000,MATCH($I46,DANH_MUC!$C$4:$C$1000,0)),""))</f>
        <v/>
      </c>
      <c r="K46" s="21" t="n"/>
      <c r="L46" s="21" t="n"/>
      <c r="M46" s="20" t="n"/>
      <c r="N46" s="23" t="n"/>
      <c r="O46" s="21" t="n"/>
    </row>
    <row r="47">
      <c r="A47" s="19">
        <f>IF($C47="","CHƯA NHẬP",IF($B47="","HỢP LỆ","LỖI"))</f>
        <v/>
      </c>
      <c r="B47" s="19">
        <f>IF($C47="","",TEXTJOIN(" | ",TRUE,IF(COUNTIF('01_HO_SO'!$C$6:$C$505,$C47)=0,"Mã chưa có ở Bước 1",""),IF(COUNTIF($C$6:$C$505,$C47)&gt;1,"Trùng mã trong thông tin công việc",""),IF($D47="","Thiếu trạng thái làm việc",""),IF($E47="","Thiếu ngày vào công ty",IF(OR(NOT(ISNUMBER($E47)),$E47&gt;TODAY()),"Ngày vào công ty không hợp lệ","")),IF($G47="","Thiếu phòng ban",""),IF($I47="","Thiếu chức danh",""),IF(AND($M47&lt;&gt;"",COUNTIF('01_HO_SO'!$C$6:$C$505,$M47)=0),"Mã quản lý không tồn tại",""),IF(AND($M47&lt;&gt;"",$M47=$C47),"Không thể tự quản lý chính mình",""),IF(OR($N47&lt;0,$N47&gt;1000000000),"Lương cơ bản ngoài phạm vi","")))</f>
        <v/>
      </c>
      <c r="C47" s="20" t="n"/>
      <c r="D47" s="21" t="n"/>
      <c r="E47" s="22" t="n"/>
      <c r="F47" s="21" t="n"/>
      <c r="G47" s="21" t="n"/>
      <c r="H47" s="21" t="n"/>
      <c r="I47" s="21" t="n"/>
      <c r="J47" s="19">
        <f>IF($I47="","",IFERROR(INDEX(DANH_MUC!$D$4:$D$1000,MATCH($I47,DANH_MUC!$C$4:$C$1000,0)),""))</f>
        <v/>
      </c>
      <c r="K47" s="21" t="n"/>
      <c r="L47" s="21" t="n"/>
      <c r="M47" s="20" t="n"/>
      <c r="N47" s="23" t="n"/>
      <c r="O47" s="21" t="n"/>
    </row>
    <row r="48">
      <c r="A48" s="19">
        <f>IF($C48="","CHƯA NHẬP",IF($B48="","HỢP LỆ","LỖI"))</f>
        <v/>
      </c>
      <c r="B48" s="19">
        <f>IF($C48="","",TEXTJOIN(" | ",TRUE,IF(COUNTIF('01_HO_SO'!$C$6:$C$505,$C48)=0,"Mã chưa có ở Bước 1",""),IF(COUNTIF($C$6:$C$505,$C48)&gt;1,"Trùng mã trong thông tin công việc",""),IF($D48="","Thiếu trạng thái làm việc",""),IF($E48="","Thiếu ngày vào công ty",IF(OR(NOT(ISNUMBER($E48)),$E48&gt;TODAY()),"Ngày vào công ty không hợp lệ","")),IF($G48="","Thiếu phòng ban",""),IF($I48="","Thiếu chức danh",""),IF(AND($M48&lt;&gt;"",COUNTIF('01_HO_SO'!$C$6:$C$505,$M48)=0),"Mã quản lý không tồn tại",""),IF(AND($M48&lt;&gt;"",$M48=$C48),"Không thể tự quản lý chính mình",""),IF(OR($N48&lt;0,$N48&gt;1000000000),"Lương cơ bản ngoài phạm vi","")))</f>
        <v/>
      </c>
      <c r="C48" s="20" t="n"/>
      <c r="D48" s="21" t="n"/>
      <c r="E48" s="22" t="n"/>
      <c r="F48" s="21" t="n"/>
      <c r="G48" s="21" t="n"/>
      <c r="H48" s="21" t="n"/>
      <c r="I48" s="21" t="n"/>
      <c r="J48" s="19">
        <f>IF($I48="","",IFERROR(INDEX(DANH_MUC!$D$4:$D$1000,MATCH($I48,DANH_MUC!$C$4:$C$1000,0)),""))</f>
        <v/>
      </c>
      <c r="K48" s="21" t="n"/>
      <c r="L48" s="21" t="n"/>
      <c r="M48" s="20" t="n"/>
      <c r="N48" s="23" t="n"/>
      <c r="O48" s="21" t="n"/>
    </row>
    <row r="49">
      <c r="A49" s="19">
        <f>IF($C49="","CHƯA NHẬP",IF($B49="","HỢP LỆ","LỖI"))</f>
        <v/>
      </c>
      <c r="B49" s="19">
        <f>IF($C49="","",TEXTJOIN(" | ",TRUE,IF(COUNTIF('01_HO_SO'!$C$6:$C$505,$C49)=0,"Mã chưa có ở Bước 1",""),IF(COUNTIF($C$6:$C$505,$C49)&gt;1,"Trùng mã trong thông tin công việc",""),IF($D49="","Thiếu trạng thái làm việc",""),IF($E49="","Thiếu ngày vào công ty",IF(OR(NOT(ISNUMBER($E49)),$E49&gt;TODAY()),"Ngày vào công ty không hợp lệ","")),IF($G49="","Thiếu phòng ban",""),IF($I49="","Thiếu chức danh",""),IF(AND($M49&lt;&gt;"",COUNTIF('01_HO_SO'!$C$6:$C$505,$M49)=0),"Mã quản lý không tồn tại",""),IF(AND($M49&lt;&gt;"",$M49=$C49),"Không thể tự quản lý chính mình",""),IF(OR($N49&lt;0,$N49&gt;1000000000),"Lương cơ bản ngoài phạm vi","")))</f>
        <v/>
      </c>
      <c r="C49" s="20" t="n"/>
      <c r="D49" s="21" t="n"/>
      <c r="E49" s="22" t="n"/>
      <c r="F49" s="21" t="n"/>
      <c r="G49" s="21" t="n"/>
      <c r="H49" s="21" t="n"/>
      <c r="I49" s="21" t="n"/>
      <c r="J49" s="19">
        <f>IF($I49="","",IFERROR(INDEX(DANH_MUC!$D$4:$D$1000,MATCH($I49,DANH_MUC!$C$4:$C$1000,0)),""))</f>
        <v/>
      </c>
      <c r="K49" s="21" t="n"/>
      <c r="L49" s="21" t="n"/>
      <c r="M49" s="20" t="n"/>
      <c r="N49" s="23" t="n"/>
      <c r="O49" s="21" t="n"/>
    </row>
    <row r="50">
      <c r="A50" s="19">
        <f>IF($C50="","CHƯA NHẬP",IF($B50="","HỢP LỆ","LỖI"))</f>
        <v/>
      </c>
      <c r="B50" s="19">
        <f>IF($C50="","",TEXTJOIN(" | ",TRUE,IF(COUNTIF('01_HO_SO'!$C$6:$C$505,$C50)=0,"Mã chưa có ở Bước 1",""),IF(COUNTIF($C$6:$C$505,$C50)&gt;1,"Trùng mã trong thông tin công việc",""),IF($D50="","Thiếu trạng thái làm việc",""),IF($E50="","Thiếu ngày vào công ty",IF(OR(NOT(ISNUMBER($E50)),$E50&gt;TODAY()),"Ngày vào công ty không hợp lệ","")),IF($G50="","Thiếu phòng ban",""),IF($I50="","Thiếu chức danh",""),IF(AND($M50&lt;&gt;"",COUNTIF('01_HO_SO'!$C$6:$C$505,$M50)=0),"Mã quản lý không tồn tại",""),IF(AND($M50&lt;&gt;"",$M50=$C50),"Không thể tự quản lý chính mình",""),IF(OR($N50&lt;0,$N50&gt;1000000000),"Lương cơ bản ngoài phạm vi","")))</f>
        <v/>
      </c>
      <c r="C50" s="20" t="n"/>
      <c r="D50" s="21" t="n"/>
      <c r="E50" s="22" t="n"/>
      <c r="F50" s="21" t="n"/>
      <c r="G50" s="21" t="n"/>
      <c r="H50" s="21" t="n"/>
      <c r="I50" s="21" t="n"/>
      <c r="J50" s="19">
        <f>IF($I50="","",IFERROR(INDEX(DANH_MUC!$D$4:$D$1000,MATCH($I50,DANH_MUC!$C$4:$C$1000,0)),""))</f>
        <v/>
      </c>
      <c r="K50" s="21" t="n"/>
      <c r="L50" s="21" t="n"/>
      <c r="M50" s="20" t="n"/>
      <c r="N50" s="23" t="n"/>
      <c r="O50" s="21" t="n"/>
    </row>
    <row r="51">
      <c r="A51" s="19">
        <f>IF($C51="","CHƯA NHẬP",IF($B51="","HỢP LỆ","LỖI"))</f>
        <v/>
      </c>
      <c r="B51" s="19">
        <f>IF($C51="","",TEXTJOIN(" | ",TRUE,IF(COUNTIF('01_HO_SO'!$C$6:$C$505,$C51)=0,"Mã chưa có ở Bước 1",""),IF(COUNTIF($C$6:$C$505,$C51)&gt;1,"Trùng mã trong thông tin công việc",""),IF($D51="","Thiếu trạng thái làm việc",""),IF($E51="","Thiếu ngày vào công ty",IF(OR(NOT(ISNUMBER($E51)),$E51&gt;TODAY()),"Ngày vào công ty không hợp lệ","")),IF($G51="","Thiếu phòng ban",""),IF($I51="","Thiếu chức danh",""),IF(AND($M51&lt;&gt;"",COUNTIF('01_HO_SO'!$C$6:$C$505,$M51)=0),"Mã quản lý không tồn tại",""),IF(AND($M51&lt;&gt;"",$M51=$C51),"Không thể tự quản lý chính mình",""),IF(OR($N51&lt;0,$N51&gt;1000000000),"Lương cơ bản ngoài phạm vi","")))</f>
        <v/>
      </c>
      <c r="C51" s="20" t="n"/>
      <c r="D51" s="21" t="n"/>
      <c r="E51" s="22" t="n"/>
      <c r="F51" s="21" t="n"/>
      <c r="G51" s="21" t="n"/>
      <c r="H51" s="21" t="n"/>
      <c r="I51" s="21" t="n"/>
      <c r="J51" s="19">
        <f>IF($I51="","",IFERROR(INDEX(DANH_MUC!$D$4:$D$1000,MATCH($I51,DANH_MUC!$C$4:$C$1000,0)),""))</f>
        <v/>
      </c>
      <c r="K51" s="21" t="n"/>
      <c r="L51" s="21" t="n"/>
      <c r="M51" s="20" t="n"/>
      <c r="N51" s="23" t="n"/>
      <c r="O51" s="21" t="n"/>
    </row>
    <row r="52">
      <c r="A52" s="19">
        <f>IF($C52="","CHƯA NHẬP",IF($B52="","HỢP LỆ","LỖI"))</f>
        <v/>
      </c>
      <c r="B52" s="19">
        <f>IF($C52="","",TEXTJOIN(" | ",TRUE,IF(COUNTIF('01_HO_SO'!$C$6:$C$505,$C52)=0,"Mã chưa có ở Bước 1",""),IF(COUNTIF($C$6:$C$505,$C52)&gt;1,"Trùng mã trong thông tin công việc",""),IF($D52="","Thiếu trạng thái làm việc",""),IF($E52="","Thiếu ngày vào công ty",IF(OR(NOT(ISNUMBER($E52)),$E52&gt;TODAY()),"Ngày vào công ty không hợp lệ","")),IF($G52="","Thiếu phòng ban",""),IF($I52="","Thiếu chức danh",""),IF(AND($M52&lt;&gt;"",COUNTIF('01_HO_SO'!$C$6:$C$505,$M52)=0),"Mã quản lý không tồn tại",""),IF(AND($M52&lt;&gt;"",$M52=$C52),"Không thể tự quản lý chính mình",""),IF(OR($N52&lt;0,$N52&gt;1000000000),"Lương cơ bản ngoài phạm vi","")))</f>
        <v/>
      </c>
      <c r="C52" s="20" t="n"/>
      <c r="D52" s="21" t="n"/>
      <c r="E52" s="22" t="n"/>
      <c r="F52" s="21" t="n"/>
      <c r="G52" s="21" t="n"/>
      <c r="H52" s="21" t="n"/>
      <c r="I52" s="21" t="n"/>
      <c r="J52" s="19">
        <f>IF($I52="","",IFERROR(INDEX(DANH_MUC!$D$4:$D$1000,MATCH($I52,DANH_MUC!$C$4:$C$1000,0)),""))</f>
        <v/>
      </c>
      <c r="K52" s="21" t="n"/>
      <c r="L52" s="21" t="n"/>
      <c r="M52" s="20" t="n"/>
      <c r="N52" s="23" t="n"/>
      <c r="O52" s="21" t="n"/>
    </row>
    <row r="53">
      <c r="A53" s="19">
        <f>IF($C53="","CHƯA NHẬP",IF($B53="","HỢP LỆ","LỖI"))</f>
        <v/>
      </c>
      <c r="B53" s="19">
        <f>IF($C53="","",TEXTJOIN(" | ",TRUE,IF(COUNTIF('01_HO_SO'!$C$6:$C$505,$C53)=0,"Mã chưa có ở Bước 1",""),IF(COUNTIF($C$6:$C$505,$C53)&gt;1,"Trùng mã trong thông tin công việc",""),IF($D53="","Thiếu trạng thái làm việc",""),IF($E53="","Thiếu ngày vào công ty",IF(OR(NOT(ISNUMBER($E53)),$E53&gt;TODAY()),"Ngày vào công ty không hợp lệ","")),IF($G53="","Thiếu phòng ban",""),IF($I53="","Thiếu chức danh",""),IF(AND($M53&lt;&gt;"",COUNTIF('01_HO_SO'!$C$6:$C$505,$M53)=0),"Mã quản lý không tồn tại",""),IF(AND($M53&lt;&gt;"",$M53=$C53),"Không thể tự quản lý chính mình",""),IF(OR($N53&lt;0,$N53&gt;1000000000),"Lương cơ bản ngoài phạm vi","")))</f>
        <v/>
      </c>
      <c r="C53" s="20" t="n"/>
      <c r="D53" s="21" t="n"/>
      <c r="E53" s="22" t="n"/>
      <c r="F53" s="21" t="n"/>
      <c r="G53" s="21" t="n"/>
      <c r="H53" s="21" t="n"/>
      <c r="I53" s="21" t="n"/>
      <c r="J53" s="19">
        <f>IF($I53="","",IFERROR(INDEX(DANH_MUC!$D$4:$D$1000,MATCH($I53,DANH_MUC!$C$4:$C$1000,0)),""))</f>
        <v/>
      </c>
      <c r="K53" s="21" t="n"/>
      <c r="L53" s="21" t="n"/>
      <c r="M53" s="20" t="n"/>
      <c r="N53" s="23" t="n"/>
      <c r="O53" s="21" t="n"/>
    </row>
    <row r="54">
      <c r="A54" s="19">
        <f>IF($C54="","CHƯA NHẬP",IF($B54="","HỢP LỆ","LỖI"))</f>
        <v/>
      </c>
      <c r="B54" s="19">
        <f>IF($C54="","",TEXTJOIN(" | ",TRUE,IF(COUNTIF('01_HO_SO'!$C$6:$C$505,$C54)=0,"Mã chưa có ở Bước 1",""),IF(COUNTIF($C$6:$C$505,$C54)&gt;1,"Trùng mã trong thông tin công việc",""),IF($D54="","Thiếu trạng thái làm việc",""),IF($E54="","Thiếu ngày vào công ty",IF(OR(NOT(ISNUMBER($E54)),$E54&gt;TODAY()),"Ngày vào công ty không hợp lệ","")),IF($G54="","Thiếu phòng ban",""),IF($I54="","Thiếu chức danh",""),IF(AND($M54&lt;&gt;"",COUNTIF('01_HO_SO'!$C$6:$C$505,$M54)=0),"Mã quản lý không tồn tại",""),IF(AND($M54&lt;&gt;"",$M54=$C54),"Không thể tự quản lý chính mình",""),IF(OR($N54&lt;0,$N54&gt;1000000000),"Lương cơ bản ngoài phạm vi","")))</f>
        <v/>
      </c>
      <c r="C54" s="20" t="n"/>
      <c r="D54" s="21" t="n"/>
      <c r="E54" s="22" t="n"/>
      <c r="F54" s="21" t="n"/>
      <c r="G54" s="21" t="n"/>
      <c r="H54" s="21" t="n"/>
      <c r="I54" s="21" t="n"/>
      <c r="J54" s="19">
        <f>IF($I54="","",IFERROR(INDEX(DANH_MUC!$D$4:$D$1000,MATCH($I54,DANH_MUC!$C$4:$C$1000,0)),""))</f>
        <v/>
      </c>
      <c r="K54" s="21" t="n"/>
      <c r="L54" s="21" t="n"/>
      <c r="M54" s="20" t="n"/>
      <c r="N54" s="23" t="n"/>
      <c r="O54" s="21" t="n"/>
    </row>
    <row r="55">
      <c r="A55" s="19">
        <f>IF($C55="","CHƯA NHẬP",IF($B55="","HỢP LỆ","LỖI"))</f>
        <v/>
      </c>
      <c r="B55" s="19">
        <f>IF($C55="","",TEXTJOIN(" | ",TRUE,IF(COUNTIF('01_HO_SO'!$C$6:$C$505,$C55)=0,"Mã chưa có ở Bước 1",""),IF(COUNTIF($C$6:$C$505,$C55)&gt;1,"Trùng mã trong thông tin công việc",""),IF($D55="","Thiếu trạng thái làm việc",""),IF($E55="","Thiếu ngày vào công ty",IF(OR(NOT(ISNUMBER($E55)),$E55&gt;TODAY()),"Ngày vào công ty không hợp lệ","")),IF($G55="","Thiếu phòng ban",""),IF($I55="","Thiếu chức danh",""),IF(AND($M55&lt;&gt;"",COUNTIF('01_HO_SO'!$C$6:$C$505,$M55)=0),"Mã quản lý không tồn tại",""),IF(AND($M55&lt;&gt;"",$M55=$C55),"Không thể tự quản lý chính mình",""),IF(OR($N55&lt;0,$N55&gt;1000000000),"Lương cơ bản ngoài phạm vi","")))</f>
        <v/>
      </c>
      <c r="C55" s="20" t="n"/>
      <c r="D55" s="21" t="n"/>
      <c r="E55" s="22" t="n"/>
      <c r="F55" s="21" t="n"/>
      <c r="G55" s="21" t="n"/>
      <c r="H55" s="21" t="n"/>
      <c r="I55" s="21" t="n"/>
      <c r="J55" s="19">
        <f>IF($I55="","",IFERROR(INDEX(DANH_MUC!$D$4:$D$1000,MATCH($I55,DANH_MUC!$C$4:$C$1000,0)),""))</f>
        <v/>
      </c>
      <c r="K55" s="21" t="n"/>
      <c r="L55" s="21" t="n"/>
      <c r="M55" s="20" t="n"/>
      <c r="N55" s="23" t="n"/>
      <c r="O55" s="21" t="n"/>
    </row>
    <row r="56">
      <c r="A56" s="19">
        <f>IF($C56="","CHƯA NHẬP",IF($B56="","HỢP LỆ","LỖI"))</f>
        <v/>
      </c>
      <c r="B56" s="19">
        <f>IF($C56="","",TEXTJOIN(" | ",TRUE,IF(COUNTIF('01_HO_SO'!$C$6:$C$505,$C56)=0,"Mã chưa có ở Bước 1",""),IF(COUNTIF($C$6:$C$505,$C56)&gt;1,"Trùng mã trong thông tin công việc",""),IF($D56="","Thiếu trạng thái làm việc",""),IF($E56="","Thiếu ngày vào công ty",IF(OR(NOT(ISNUMBER($E56)),$E56&gt;TODAY()),"Ngày vào công ty không hợp lệ","")),IF($G56="","Thiếu phòng ban",""),IF($I56="","Thiếu chức danh",""),IF(AND($M56&lt;&gt;"",COUNTIF('01_HO_SO'!$C$6:$C$505,$M56)=0),"Mã quản lý không tồn tại",""),IF(AND($M56&lt;&gt;"",$M56=$C56),"Không thể tự quản lý chính mình",""),IF(OR($N56&lt;0,$N56&gt;1000000000),"Lương cơ bản ngoài phạm vi","")))</f>
        <v/>
      </c>
      <c r="C56" s="20" t="n"/>
      <c r="D56" s="21" t="n"/>
      <c r="E56" s="22" t="n"/>
      <c r="F56" s="21" t="n"/>
      <c r="G56" s="21" t="n"/>
      <c r="H56" s="21" t="n"/>
      <c r="I56" s="21" t="n"/>
      <c r="J56" s="19">
        <f>IF($I56="","",IFERROR(INDEX(DANH_MUC!$D$4:$D$1000,MATCH($I56,DANH_MUC!$C$4:$C$1000,0)),""))</f>
        <v/>
      </c>
      <c r="K56" s="21" t="n"/>
      <c r="L56" s="21" t="n"/>
      <c r="M56" s="20" t="n"/>
      <c r="N56" s="23" t="n"/>
      <c r="O56" s="21" t="n"/>
    </row>
    <row r="57">
      <c r="A57" s="19">
        <f>IF($C57="","CHƯA NHẬP",IF($B57="","HỢP LỆ","LỖI"))</f>
        <v/>
      </c>
      <c r="B57" s="19">
        <f>IF($C57="","",TEXTJOIN(" | ",TRUE,IF(COUNTIF('01_HO_SO'!$C$6:$C$505,$C57)=0,"Mã chưa có ở Bước 1",""),IF(COUNTIF($C$6:$C$505,$C57)&gt;1,"Trùng mã trong thông tin công việc",""),IF($D57="","Thiếu trạng thái làm việc",""),IF($E57="","Thiếu ngày vào công ty",IF(OR(NOT(ISNUMBER($E57)),$E57&gt;TODAY()),"Ngày vào công ty không hợp lệ","")),IF($G57="","Thiếu phòng ban",""),IF($I57="","Thiếu chức danh",""),IF(AND($M57&lt;&gt;"",COUNTIF('01_HO_SO'!$C$6:$C$505,$M57)=0),"Mã quản lý không tồn tại",""),IF(AND($M57&lt;&gt;"",$M57=$C57),"Không thể tự quản lý chính mình",""),IF(OR($N57&lt;0,$N57&gt;1000000000),"Lương cơ bản ngoài phạm vi","")))</f>
        <v/>
      </c>
      <c r="C57" s="20" t="n"/>
      <c r="D57" s="21" t="n"/>
      <c r="E57" s="22" t="n"/>
      <c r="F57" s="21" t="n"/>
      <c r="G57" s="21" t="n"/>
      <c r="H57" s="21" t="n"/>
      <c r="I57" s="21" t="n"/>
      <c r="J57" s="19">
        <f>IF($I57="","",IFERROR(INDEX(DANH_MUC!$D$4:$D$1000,MATCH($I57,DANH_MUC!$C$4:$C$1000,0)),""))</f>
        <v/>
      </c>
      <c r="K57" s="21" t="n"/>
      <c r="L57" s="21" t="n"/>
      <c r="M57" s="20" t="n"/>
      <c r="N57" s="23" t="n"/>
      <c r="O57" s="21" t="n"/>
    </row>
    <row r="58">
      <c r="A58" s="19">
        <f>IF($C58="","CHƯA NHẬP",IF($B58="","HỢP LỆ","LỖI"))</f>
        <v/>
      </c>
      <c r="B58" s="19">
        <f>IF($C58="","",TEXTJOIN(" | ",TRUE,IF(COUNTIF('01_HO_SO'!$C$6:$C$505,$C58)=0,"Mã chưa có ở Bước 1",""),IF(COUNTIF($C$6:$C$505,$C58)&gt;1,"Trùng mã trong thông tin công việc",""),IF($D58="","Thiếu trạng thái làm việc",""),IF($E58="","Thiếu ngày vào công ty",IF(OR(NOT(ISNUMBER($E58)),$E58&gt;TODAY()),"Ngày vào công ty không hợp lệ","")),IF($G58="","Thiếu phòng ban",""),IF($I58="","Thiếu chức danh",""),IF(AND($M58&lt;&gt;"",COUNTIF('01_HO_SO'!$C$6:$C$505,$M58)=0),"Mã quản lý không tồn tại",""),IF(AND($M58&lt;&gt;"",$M58=$C58),"Không thể tự quản lý chính mình",""),IF(OR($N58&lt;0,$N58&gt;1000000000),"Lương cơ bản ngoài phạm vi","")))</f>
        <v/>
      </c>
      <c r="C58" s="20" t="n"/>
      <c r="D58" s="21" t="n"/>
      <c r="E58" s="22" t="n"/>
      <c r="F58" s="21" t="n"/>
      <c r="G58" s="21" t="n"/>
      <c r="H58" s="21" t="n"/>
      <c r="I58" s="21" t="n"/>
      <c r="J58" s="19">
        <f>IF($I58="","",IFERROR(INDEX(DANH_MUC!$D$4:$D$1000,MATCH($I58,DANH_MUC!$C$4:$C$1000,0)),""))</f>
        <v/>
      </c>
      <c r="K58" s="21" t="n"/>
      <c r="L58" s="21" t="n"/>
      <c r="M58" s="20" t="n"/>
      <c r="N58" s="23" t="n"/>
      <c r="O58" s="21" t="n"/>
    </row>
    <row r="59">
      <c r="A59" s="19">
        <f>IF($C59="","CHƯA NHẬP",IF($B59="","HỢP LỆ","LỖI"))</f>
        <v/>
      </c>
      <c r="B59" s="19">
        <f>IF($C59="","",TEXTJOIN(" | ",TRUE,IF(COUNTIF('01_HO_SO'!$C$6:$C$505,$C59)=0,"Mã chưa có ở Bước 1",""),IF(COUNTIF($C$6:$C$505,$C59)&gt;1,"Trùng mã trong thông tin công việc",""),IF($D59="","Thiếu trạng thái làm việc",""),IF($E59="","Thiếu ngày vào công ty",IF(OR(NOT(ISNUMBER($E59)),$E59&gt;TODAY()),"Ngày vào công ty không hợp lệ","")),IF($G59="","Thiếu phòng ban",""),IF($I59="","Thiếu chức danh",""),IF(AND($M59&lt;&gt;"",COUNTIF('01_HO_SO'!$C$6:$C$505,$M59)=0),"Mã quản lý không tồn tại",""),IF(AND($M59&lt;&gt;"",$M59=$C59),"Không thể tự quản lý chính mình",""),IF(OR($N59&lt;0,$N59&gt;1000000000),"Lương cơ bản ngoài phạm vi","")))</f>
        <v/>
      </c>
      <c r="C59" s="20" t="n"/>
      <c r="D59" s="21" t="n"/>
      <c r="E59" s="22" t="n"/>
      <c r="F59" s="21" t="n"/>
      <c r="G59" s="21" t="n"/>
      <c r="H59" s="21" t="n"/>
      <c r="I59" s="21" t="n"/>
      <c r="J59" s="19">
        <f>IF($I59="","",IFERROR(INDEX(DANH_MUC!$D$4:$D$1000,MATCH($I59,DANH_MUC!$C$4:$C$1000,0)),""))</f>
        <v/>
      </c>
      <c r="K59" s="21" t="n"/>
      <c r="L59" s="21" t="n"/>
      <c r="M59" s="20" t="n"/>
      <c r="N59" s="23" t="n"/>
      <c r="O59" s="21" t="n"/>
    </row>
    <row r="60">
      <c r="A60" s="19">
        <f>IF($C60="","CHƯA NHẬP",IF($B60="","HỢP LỆ","LỖI"))</f>
        <v/>
      </c>
      <c r="B60" s="19">
        <f>IF($C60="","",TEXTJOIN(" | ",TRUE,IF(COUNTIF('01_HO_SO'!$C$6:$C$505,$C60)=0,"Mã chưa có ở Bước 1",""),IF(COUNTIF($C$6:$C$505,$C60)&gt;1,"Trùng mã trong thông tin công việc",""),IF($D60="","Thiếu trạng thái làm việc",""),IF($E60="","Thiếu ngày vào công ty",IF(OR(NOT(ISNUMBER($E60)),$E60&gt;TODAY()),"Ngày vào công ty không hợp lệ","")),IF($G60="","Thiếu phòng ban",""),IF($I60="","Thiếu chức danh",""),IF(AND($M60&lt;&gt;"",COUNTIF('01_HO_SO'!$C$6:$C$505,$M60)=0),"Mã quản lý không tồn tại",""),IF(AND($M60&lt;&gt;"",$M60=$C60),"Không thể tự quản lý chính mình",""),IF(OR($N60&lt;0,$N60&gt;1000000000),"Lương cơ bản ngoài phạm vi","")))</f>
        <v/>
      </c>
      <c r="C60" s="20" t="n"/>
      <c r="D60" s="21" t="n"/>
      <c r="E60" s="22" t="n"/>
      <c r="F60" s="21" t="n"/>
      <c r="G60" s="21" t="n"/>
      <c r="H60" s="21" t="n"/>
      <c r="I60" s="21" t="n"/>
      <c r="J60" s="19">
        <f>IF($I60="","",IFERROR(INDEX(DANH_MUC!$D$4:$D$1000,MATCH($I60,DANH_MUC!$C$4:$C$1000,0)),""))</f>
        <v/>
      </c>
      <c r="K60" s="21" t="n"/>
      <c r="L60" s="21" t="n"/>
      <c r="M60" s="20" t="n"/>
      <c r="N60" s="23" t="n"/>
      <c r="O60" s="21" t="n"/>
    </row>
    <row r="61">
      <c r="A61" s="19">
        <f>IF($C61="","CHƯA NHẬP",IF($B61="","HỢP LỆ","LỖI"))</f>
        <v/>
      </c>
      <c r="B61" s="19">
        <f>IF($C61="","",TEXTJOIN(" | ",TRUE,IF(COUNTIF('01_HO_SO'!$C$6:$C$505,$C61)=0,"Mã chưa có ở Bước 1",""),IF(COUNTIF($C$6:$C$505,$C61)&gt;1,"Trùng mã trong thông tin công việc",""),IF($D61="","Thiếu trạng thái làm việc",""),IF($E61="","Thiếu ngày vào công ty",IF(OR(NOT(ISNUMBER($E61)),$E61&gt;TODAY()),"Ngày vào công ty không hợp lệ","")),IF($G61="","Thiếu phòng ban",""),IF($I61="","Thiếu chức danh",""),IF(AND($M61&lt;&gt;"",COUNTIF('01_HO_SO'!$C$6:$C$505,$M61)=0),"Mã quản lý không tồn tại",""),IF(AND($M61&lt;&gt;"",$M61=$C61),"Không thể tự quản lý chính mình",""),IF(OR($N61&lt;0,$N61&gt;1000000000),"Lương cơ bản ngoài phạm vi","")))</f>
        <v/>
      </c>
      <c r="C61" s="20" t="n"/>
      <c r="D61" s="21" t="n"/>
      <c r="E61" s="22" t="n"/>
      <c r="F61" s="21" t="n"/>
      <c r="G61" s="21" t="n"/>
      <c r="H61" s="21" t="n"/>
      <c r="I61" s="21" t="n"/>
      <c r="J61" s="19">
        <f>IF($I61="","",IFERROR(INDEX(DANH_MUC!$D$4:$D$1000,MATCH($I61,DANH_MUC!$C$4:$C$1000,0)),""))</f>
        <v/>
      </c>
      <c r="K61" s="21" t="n"/>
      <c r="L61" s="21" t="n"/>
      <c r="M61" s="20" t="n"/>
      <c r="N61" s="23" t="n"/>
      <c r="O61" s="21" t="n"/>
    </row>
    <row r="62">
      <c r="A62" s="19">
        <f>IF($C62="","CHƯA NHẬP",IF($B62="","HỢP LỆ","LỖI"))</f>
        <v/>
      </c>
      <c r="B62" s="19">
        <f>IF($C62="","",TEXTJOIN(" | ",TRUE,IF(COUNTIF('01_HO_SO'!$C$6:$C$505,$C62)=0,"Mã chưa có ở Bước 1",""),IF(COUNTIF($C$6:$C$505,$C62)&gt;1,"Trùng mã trong thông tin công việc",""),IF($D62="","Thiếu trạng thái làm việc",""),IF($E62="","Thiếu ngày vào công ty",IF(OR(NOT(ISNUMBER($E62)),$E62&gt;TODAY()),"Ngày vào công ty không hợp lệ","")),IF($G62="","Thiếu phòng ban",""),IF($I62="","Thiếu chức danh",""),IF(AND($M62&lt;&gt;"",COUNTIF('01_HO_SO'!$C$6:$C$505,$M62)=0),"Mã quản lý không tồn tại",""),IF(AND($M62&lt;&gt;"",$M62=$C62),"Không thể tự quản lý chính mình",""),IF(OR($N62&lt;0,$N62&gt;1000000000),"Lương cơ bản ngoài phạm vi","")))</f>
        <v/>
      </c>
      <c r="C62" s="20" t="n"/>
      <c r="D62" s="21" t="n"/>
      <c r="E62" s="22" t="n"/>
      <c r="F62" s="21" t="n"/>
      <c r="G62" s="21" t="n"/>
      <c r="H62" s="21" t="n"/>
      <c r="I62" s="21" t="n"/>
      <c r="J62" s="19">
        <f>IF($I62="","",IFERROR(INDEX(DANH_MUC!$D$4:$D$1000,MATCH($I62,DANH_MUC!$C$4:$C$1000,0)),""))</f>
        <v/>
      </c>
      <c r="K62" s="21" t="n"/>
      <c r="L62" s="21" t="n"/>
      <c r="M62" s="20" t="n"/>
      <c r="N62" s="23" t="n"/>
      <c r="O62" s="21" t="n"/>
    </row>
    <row r="63">
      <c r="A63" s="19">
        <f>IF($C63="","CHƯA NHẬP",IF($B63="","HỢP LỆ","LỖI"))</f>
        <v/>
      </c>
      <c r="B63" s="19">
        <f>IF($C63="","",TEXTJOIN(" | ",TRUE,IF(COUNTIF('01_HO_SO'!$C$6:$C$505,$C63)=0,"Mã chưa có ở Bước 1",""),IF(COUNTIF($C$6:$C$505,$C63)&gt;1,"Trùng mã trong thông tin công việc",""),IF($D63="","Thiếu trạng thái làm việc",""),IF($E63="","Thiếu ngày vào công ty",IF(OR(NOT(ISNUMBER($E63)),$E63&gt;TODAY()),"Ngày vào công ty không hợp lệ","")),IF($G63="","Thiếu phòng ban",""),IF($I63="","Thiếu chức danh",""),IF(AND($M63&lt;&gt;"",COUNTIF('01_HO_SO'!$C$6:$C$505,$M63)=0),"Mã quản lý không tồn tại",""),IF(AND($M63&lt;&gt;"",$M63=$C63),"Không thể tự quản lý chính mình",""),IF(OR($N63&lt;0,$N63&gt;1000000000),"Lương cơ bản ngoài phạm vi","")))</f>
        <v/>
      </c>
      <c r="C63" s="20" t="n"/>
      <c r="D63" s="21" t="n"/>
      <c r="E63" s="22" t="n"/>
      <c r="F63" s="21" t="n"/>
      <c r="G63" s="21" t="n"/>
      <c r="H63" s="21" t="n"/>
      <c r="I63" s="21" t="n"/>
      <c r="J63" s="19">
        <f>IF($I63="","",IFERROR(INDEX(DANH_MUC!$D$4:$D$1000,MATCH($I63,DANH_MUC!$C$4:$C$1000,0)),""))</f>
        <v/>
      </c>
      <c r="K63" s="21" t="n"/>
      <c r="L63" s="21" t="n"/>
      <c r="M63" s="20" t="n"/>
      <c r="N63" s="23" t="n"/>
      <c r="O63" s="21" t="n"/>
    </row>
    <row r="64">
      <c r="A64" s="19">
        <f>IF($C64="","CHƯA NHẬP",IF($B64="","HỢP LỆ","LỖI"))</f>
        <v/>
      </c>
      <c r="B64" s="19">
        <f>IF($C64="","",TEXTJOIN(" | ",TRUE,IF(COUNTIF('01_HO_SO'!$C$6:$C$505,$C64)=0,"Mã chưa có ở Bước 1",""),IF(COUNTIF($C$6:$C$505,$C64)&gt;1,"Trùng mã trong thông tin công việc",""),IF($D64="","Thiếu trạng thái làm việc",""),IF($E64="","Thiếu ngày vào công ty",IF(OR(NOT(ISNUMBER($E64)),$E64&gt;TODAY()),"Ngày vào công ty không hợp lệ","")),IF($G64="","Thiếu phòng ban",""),IF($I64="","Thiếu chức danh",""),IF(AND($M64&lt;&gt;"",COUNTIF('01_HO_SO'!$C$6:$C$505,$M64)=0),"Mã quản lý không tồn tại",""),IF(AND($M64&lt;&gt;"",$M64=$C64),"Không thể tự quản lý chính mình",""),IF(OR($N64&lt;0,$N64&gt;1000000000),"Lương cơ bản ngoài phạm vi","")))</f>
        <v/>
      </c>
      <c r="C64" s="20" t="n"/>
      <c r="D64" s="21" t="n"/>
      <c r="E64" s="22" t="n"/>
      <c r="F64" s="21" t="n"/>
      <c r="G64" s="21" t="n"/>
      <c r="H64" s="21" t="n"/>
      <c r="I64" s="21" t="n"/>
      <c r="J64" s="19">
        <f>IF($I64="","",IFERROR(INDEX(DANH_MUC!$D$4:$D$1000,MATCH($I64,DANH_MUC!$C$4:$C$1000,0)),""))</f>
        <v/>
      </c>
      <c r="K64" s="21" t="n"/>
      <c r="L64" s="21" t="n"/>
      <c r="M64" s="20" t="n"/>
      <c r="N64" s="23" t="n"/>
      <c r="O64" s="21" t="n"/>
    </row>
    <row r="65">
      <c r="A65" s="19">
        <f>IF($C65="","CHƯA NHẬP",IF($B65="","HỢP LỆ","LỖI"))</f>
        <v/>
      </c>
      <c r="B65" s="19">
        <f>IF($C65="","",TEXTJOIN(" | ",TRUE,IF(COUNTIF('01_HO_SO'!$C$6:$C$505,$C65)=0,"Mã chưa có ở Bước 1",""),IF(COUNTIF($C$6:$C$505,$C65)&gt;1,"Trùng mã trong thông tin công việc",""),IF($D65="","Thiếu trạng thái làm việc",""),IF($E65="","Thiếu ngày vào công ty",IF(OR(NOT(ISNUMBER($E65)),$E65&gt;TODAY()),"Ngày vào công ty không hợp lệ","")),IF($G65="","Thiếu phòng ban",""),IF($I65="","Thiếu chức danh",""),IF(AND($M65&lt;&gt;"",COUNTIF('01_HO_SO'!$C$6:$C$505,$M65)=0),"Mã quản lý không tồn tại",""),IF(AND($M65&lt;&gt;"",$M65=$C65),"Không thể tự quản lý chính mình",""),IF(OR($N65&lt;0,$N65&gt;1000000000),"Lương cơ bản ngoài phạm vi","")))</f>
        <v/>
      </c>
      <c r="C65" s="20" t="n"/>
      <c r="D65" s="21" t="n"/>
      <c r="E65" s="22" t="n"/>
      <c r="F65" s="21" t="n"/>
      <c r="G65" s="21" t="n"/>
      <c r="H65" s="21" t="n"/>
      <c r="I65" s="21" t="n"/>
      <c r="J65" s="19">
        <f>IF($I65="","",IFERROR(INDEX(DANH_MUC!$D$4:$D$1000,MATCH($I65,DANH_MUC!$C$4:$C$1000,0)),""))</f>
        <v/>
      </c>
      <c r="K65" s="21" t="n"/>
      <c r="L65" s="21" t="n"/>
      <c r="M65" s="20" t="n"/>
      <c r="N65" s="23" t="n"/>
      <c r="O65" s="21" t="n"/>
    </row>
    <row r="66">
      <c r="A66" s="19">
        <f>IF($C66="","CHƯA NHẬP",IF($B66="","HỢP LỆ","LỖI"))</f>
        <v/>
      </c>
      <c r="B66" s="19">
        <f>IF($C66="","",TEXTJOIN(" | ",TRUE,IF(COUNTIF('01_HO_SO'!$C$6:$C$505,$C66)=0,"Mã chưa có ở Bước 1",""),IF(COUNTIF($C$6:$C$505,$C66)&gt;1,"Trùng mã trong thông tin công việc",""),IF($D66="","Thiếu trạng thái làm việc",""),IF($E66="","Thiếu ngày vào công ty",IF(OR(NOT(ISNUMBER($E66)),$E66&gt;TODAY()),"Ngày vào công ty không hợp lệ","")),IF($G66="","Thiếu phòng ban",""),IF($I66="","Thiếu chức danh",""),IF(AND($M66&lt;&gt;"",COUNTIF('01_HO_SO'!$C$6:$C$505,$M66)=0),"Mã quản lý không tồn tại",""),IF(AND($M66&lt;&gt;"",$M66=$C66),"Không thể tự quản lý chính mình",""),IF(OR($N66&lt;0,$N66&gt;1000000000),"Lương cơ bản ngoài phạm vi","")))</f>
        <v/>
      </c>
      <c r="C66" s="20" t="n"/>
      <c r="D66" s="21" t="n"/>
      <c r="E66" s="22" t="n"/>
      <c r="F66" s="21" t="n"/>
      <c r="G66" s="21" t="n"/>
      <c r="H66" s="21" t="n"/>
      <c r="I66" s="21" t="n"/>
      <c r="J66" s="19">
        <f>IF($I66="","",IFERROR(INDEX(DANH_MUC!$D$4:$D$1000,MATCH($I66,DANH_MUC!$C$4:$C$1000,0)),""))</f>
        <v/>
      </c>
      <c r="K66" s="21" t="n"/>
      <c r="L66" s="21" t="n"/>
      <c r="M66" s="20" t="n"/>
      <c r="N66" s="23" t="n"/>
      <c r="O66" s="21" t="n"/>
    </row>
    <row r="67">
      <c r="A67" s="19">
        <f>IF($C67="","CHƯA NHẬP",IF($B67="","HỢP LỆ","LỖI"))</f>
        <v/>
      </c>
      <c r="B67" s="19">
        <f>IF($C67="","",TEXTJOIN(" | ",TRUE,IF(COUNTIF('01_HO_SO'!$C$6:$C$505,$C67)=0,"Mã chưa có ở Bước 1",""),IF(COUNTIF($C$6:$C$505,$C67)&gt;1,"Trùng mã trong thông tin công việc",""),IF($D67="","Thiếu trạng thái làm việc",""),IF($E67="","Thiếu ngày vào công ty",IF(OR(NOT(ISNUMBER($E67)),$E67&gt;TODAY()),"Ngày vào công ty không hợp lệ","")),IF($G67="","Thiếu phòng ban",""),IF($I67="","Thiếu chức danh",""),IF(AND($M67&lt;&gt;"",COUNTIF('01_HO_SO'!$C$6:$C$505,$M67)=0),"Mã quản lý không tồn tại",""),IF(AND($M67&lt;&gt;"",$M67=$C67),"Không thể tự quản lý chính mình",""),IF(OR($N67&lt;0,$N67&gt;1000000000),"Lương cơ bản ngoài phạm vi","")))</f>
        <v/>
      </c>
      <c r="C67" s="20" t="n"/>
      <c r="D67" s="21" t="n"/>
      <c r="E67" s="22" t="n"/>
      <c r="F67" s="21" t="n"/>
      <c r="G67" s="21" t="n"/>
      <c r="H67" s="21" t="n"/>
      <c r="I67" s="21" t="n"/>
      <c r="J67" s="19">
        <f>IF($I67="","",IFERROR(INDEX(DANH_MUC!$D$4:$D$1000,MATCH($I67,DANH_MUC!$C$4:$C$1000,0)),""))</f>
        <v/>
      </c>
      <c r="K67" s="21" t="n"/>
      <c r="L67" s="21" t="n"/>
      <c r="M67" s="20" t="n"/>
      <c r="N67" s="23" t="n"/>
      <c r="O67" s="21" t="n"/>
    </row>
    <row r="68">
      <c r="A68" s="19">
        <f>IF($C68="","CHƯA NHẬP",IF($B68="","HỢP LỆ","LỖI"))</f>
        <v/>
      </c>
      <c r="B68" s="19">
        <f>IF($C68="","",TEXTJOIN(" | ",TRUE,IF(COUNTIF('01_HO_SO'!$C$6:$C$505,$C68)=0,"Mã chưa có ở Bước 1",""),IF(COUNTIF($C$6:$C$505,$C68)&gt;1,"Trùng mã trong thông tin công việc",""),IF($D68="","Thiếu trạng thái làm việc",""),IF($E68="","Thiếu ngày vào công ty",IF(OR(NOT(ISNUMBER($E68)),$E68&gt;TODAY()),"Ngày vào công ty không hợp lệ","")),IF($G68="","Thiếu phòng ban",""),IF($I68="","Thiếu chức danh",""),IF(AND($M68&lt;&gt;"",COUNTIF('01_HO_SO'!$C$6:$C$505,$M68)=0),"Mã quản lý không tồn tại",""),IF(AND($M68&lt;&gt;"",$M68=$C68),"Không thể tự quản lý chính mình",""),IF(OR($N68&lt;0,$N68&gt;1000000000),"Lương cơ bản ngoài phạm vi","")))</f>
        <v/>
      </c>
      <c r="C68" s="20" t="n"/>
      <c r="D68" s="21" t="n"/>
      <c r="E68" s="22" t="n"/>
      <c r="F68" s="21" t="n"/>
      <c r="G68" s="21" t="n"/>
      <c r="H68" s="21" t="n"/>
      <c r="I68" s="21" t="n"/>
      <c r="J68" s="19">
        <f>IF($I68="","",IFERROR(INDEX(DANH_MUC!$D$4:$D$1000,MATCH($I68,DANH_MUC!$C$4:$C$1000,0)),""))</f>
        <v/>
      </c>
      <c r="K68" s="21" t="n"/>
      <c r="L68" s="21" t="n"/>
      <c r="M68" s="20" t="n"/>
      <c r="N68" s="23" t="n"/>
      <c r="O68" s="21" t="n"/>
    </row>
    <row r="69">
      <c r="A69" s="19">
        <f>IF($C69="","CHƯA NHẬP",IF($B69="","HỢP LỆ","LỖI"))</f>
        <v/>
      </c>
      <c r="B69" s="19">
        <f>IF($C69="","",TEXTJOIN(" | ",TRUE,IF(COUNTIF('01_HO_SO'!$C$6:$C$505,$C69)=0,"Mã chưa có ở Bước 1",""),IF(COUNTIF($C$6:$C$505,$C69)&gt;1,"Trùng mã trong thông tin công việc",""),IF($D69="","Thiếu trạng thái làm việc",""),IF($E69="","Thiếu ngày vào công ty",IF(OR(NOT(ISNUMBER($E69)),$E69&gt;TODAY()),"Ngày vào công ty không hợp lệ","")),IF($G69="","Thiếu phòng ban",""),IF($I69="","Thiếu chức danh",""),IF(AND($M69&lt;&gt;"",COUNTIF('01_HO_SO'!$C$6:$C$505,$M69)=0),"Mã quản lý không tồn tại",""),IF(AND($M69&lt;&gt;"",$M69=$C69),"Không thể tự quản lý chính mình",""),IF(OR($N69&lt;0,$N69&gt;1000000000),"Lương cơ bản ngoài phạm vi","")))</f>
        <v/>
      </c>
      <c r="C69" s="20" t="n"/>
      <c r="D69" s="21" t="n"/>
      <c r="E69" s="22" t="n"/>
      <c r="F69" s="21" t="n"/>
      <c r="G69" s="21" t="n"/>
      <c r="H69" s="21" t="n"/>
      <c r="I69" s="21" t="n"/>
      <c r="J69" s="19">
        <f>IF($I69="","",IFERROR(INDEX(DANH_MUC!$D$4:$D$1000,MATCH($I69,DANH_MUC!$C$4:$C$1000,0)),""))</f>
        <v/>
      </c>
      <c r="K69" s="21" t="n"/>
      <c r="L69" s="21" t="n"/>
      <c r="M69" s="20" t="n"/>
      <c r="N69" s="23" t="n"/>
      <c r="O69" s="21" t="n"/>
    </row>
    <row r="70">
      <c r="A70" s="19">
        <f>IF($C70="","CHƯA NHẬP",IF($B70="","HỢP LỆ","LỖI"))</f>
        <v/>
      </c>
      <c r="B70" s="19">
        <f>IF($C70="","",TEXTJOIN(" | ",TRUE,IF(COUNTIF('01_HO_SO'!$C$6:$C$505,$C70)=0,"Mã chưa có ở Bước 1",""),IF(COUNTIF($C$6:$C$505,$C70)&gt;1,"Trùng mã trong thông tin công việc",""),IF($D70="","Thiếu trạng thái làm việc",""),IF($E70="","Thiếu ngày vào công ty",IF(OR(NOT(ISNUMBER($E70)),$E70&gt;TODAY()),"Ngày vào công ty không hợp lệ","")),IF($G70="","Thiếu phòng ban",""),IF($I70="","Thiếu chức danh",""),IF(AND($M70&lt;&gt;"",COUNTIF('01_HO_SO'!$C$6:$C$505,$M70)=0),"Mã quản lý không tồn tại",""),IF(AND($M70&lt;&gt;"",$M70=$C70),"Không thể tự quản lý chính mình",""),IF(OR($N70&lt;0,$N70&gt;1000000000),"Lương cơ bản ngoài phạm vi","")))</f>
        <v/>
      </c>
      <c r="C70" s="20" t="n"/>
      <c r="D70" s="21" t="n"/>
      <c r="E70" s="22" t="n"/>
      <c r="F70" s="21" t="n"/>
      <c r="G70" s="21" t="n"/>
      <c r="H70" s="21" t="n"/>
      <c r="I70" s="21" t="n"/>
      <c r="J70" s="19">
        <f>IF($I70="","",IFERROR(INDEX(DANH_MUC!$D$4:$D$1000,MATCH($I70,DANH_MUC!$C$4:$C$1000,0)),""))</f>
        <v/>
      </c>
      <c r="K70" s="21" t="n"/>
      <c r="L70" s="21" t="n"/>
      <c r="M70" s="20" t="n"/>
      <c r="N70" s="23" t="n"/>
      <c r="O70" s="21" t="n"/>
    </row>
    <row r="71">
      <c r="A71" s="19">
        <f>IF($C71="","CHƯA NHẬP",IF($B71="","HỢP LỆ","LỖI"))</f>
        <v/>
      </c>
      <c r="B71" s="19">
        <f>IF($C71="","",TEXTJOIN(" | ",TRUE,IF(COUNTIF('01_HO_SO'!$C$6:$C$505,$C71)=0,"Mã chưa có ở Bước 1",""),IF(COUNTIF($C$6:$C$505,$C71)&gt;1,"Trùng mã trong thông tin công việc",""),IF($D71="","Thiếu trạng thái làm việc",""),IF($E71="","Thiếu ngày vào công ty",IF(OR(NOT(ISNUMBER($E71)),$E71&gt;TODAY()),"Ngày vào công ty không hợp lệ","")),IF($G71="","Thiếu phòng ban",""),IF($I71="","Thiếu chức danh",""),IF(AND($M71&lt;&gt;"",COUNTIF('01_HO_SO'!$C$6:$C$505,$M71)=0),"Mã quản lý không tồn tại",""),IF(AND($M71&lt;&gt;"",$M71=$C71),"Không thể tự quản lý chính mình",""),IF(OR($N71&lt;0,$N71&gt;1000000000),"Lương cơ bản ngoài phạm vi","")))</f>
        <v/>
      </c>
      <c r="C71" s="20" t="n"/>
      <c r="D71" s="21" t="n"/>
      <c r="E71" s="22" t="n"/>
      <c r="F71" s="21" t="n"/>
      <c r="G71" s="21" t="n"/>
      <c r="H71" s="21" t="n"/>
      <c r="I71" s="21" t="n"/>
      <c r="J71" s="19">
        <f>IF($I71="","",IFERROR(INDEX(DANH_MUC!$D$4:$D$1000,MATCH($I71,DANH_MUC!$C$4:$C$1000,0)),""))</f>
        <v/>
      </c>
      <c r="K71" s="21" t="n"/>
      <c r="L71" s="21" t="n"/>
      <c r="M71" s="20" t="n"/>
      <c r="N71" s="23" t="n"/>
      <c r="O71" s="21" t="n"/>
    </row>
    <row r="72">
      <c r="A72" s="19">
        <f>IF($C72="","CHƯA NHẬP",IF($B72="","HỢP LỆ","LỖI"))</f>
        <v/>
      </c>
      <c r="B72" s="19">
        <f>IF($C72="","",TEXTJOIN(" | ",TRUE,IF(COUNTIF('01_HO_SO'!$C$6:$C$505,$C72)=0,"Mã chưa có ở Bước 1",""),IF(COUNTIF($C$6:$C$505,$C72)&gt;1,"Trùng mã trong thông tin công việc",""),IF($D72="","Thiếu trạng thái làm việc",""),IF($E72="","Thiếu ngày vào công ty",IF(OR(NOT(ISNUMBER($E72)),$E72&gt;TODAY()),"Ngày vào công ty không hợp lệ","")),IF($G72="","Thiếu phòng ban",""),IF($I72="","Thiếu chức danh",""),IF(AND($M72&lt;&gt;"",COUNTIF('01_HO_SO'!$C$6:$C$505,$M72)=0),"Mã quản lý không tồn tại",""),IF(AND($M72&lt;&gt;"",$M72=$C72),"Không thể tự quản lý chính mình",""),IF(OR($N72&lt;0,$N72&gt;1000000000),"Lương cơ bản ngoài phạm vi","")))</f>
        <v/>
      </c>
      <c r="C72" s="20" t="n"/>
      <c r="D72" s="21" t="n"/>
      <c r="E72" s="22" t="n"/>
      <c r="F72" s="21" t="n"/>
      <c r="G72" s="21" t="n"/>
      <c r="H72" s="21" t="n"/>
      <c r="I72" s="21" t="n"/>
      <c r="J72" s="19">
        <f>IF($I72="","",IFERROR(INDEX(DANH_MUC!$D$4:$D$1000,MATCH($I72,DANH_MUC!$C$4:$C$1000,0)),""))</f>
        <v/>
      </c>
      <c r="K72" s="21" t="n"/>
      <c r="L72" s="21" t="n"/>
      <c r="M72" s="20" t="n"/>
      <c r="N72" s="23" t="n"/>
      <c r="O72" s="21" t="n"/>
    </row>
    <row r="73">
      <c r="A73" s="19">
        <f>IF($C73="","CHƯA NHẬP",IF($B73="","HỢP LỆ","LỖI"))</f>
        <v/>
      </c>
      <c r="B73" s="19">
        <f>IF($C73="","",TEXTJOIN(" | ",TRUE,IF(COUNTIF('01_HO_SO'!$C$6:$C$505,$C73)=0,"Mã chưa có ở Bước 1",""),IF(COUNTIF($C$6:$C$505,$C73)&gt;1,"Trùng mã trong thông tin công việc",""),IF($D73="","Thiếu trạng thái làm việc",""),IF($E73="","Thiếu ngày vào công ty",IF(OR(NOT(ISNUMBER($E73)),$E73&gt;TODAY()),"Ngày vào công ty không hợp lệ","")),IF($G73="","Thiếu phòng ban",""),IF($I73="","Thiếu chức danh",""),IF(AND($M73&lt;&gt;"",COUNTIF('01_HO_SO'!$C$6:$C$505,$M73)=0),"Mã quản lý không tồn tại",""),IF(AND($M73&lt;&gt;"",$M73=$C73),"Không thể tự quản lý chính mình",""),IF(OR($N73&lt;0,$N73&gt;1000000000),"Lương cơ bản ngoài phạm vi","")))</f>
        <v/>
      </c>
      <c r="C73" s="20" t="n"/>
      <c r="D73" s="21" t="n"/>
      <c r="E73" s="22" t="n"/>
      <c r="F73" s="21" t="n"/>
      <c r="G73" s="21" t="n"/>
      <c r="H73" s="21" t="n"/>
      <c r="I73" s="21" t="n"/>
      <c r="J73" s="19">
        <f>IF($I73="","",IFERROR(INDEX(DANH_MUC!$D$4:$D$1000,MATCH($I73,DANH_MUC!$C$4:$C$1000,0)),""))</f>
        <v/>
      </c>
      <c r="K73" s="21" t="n"/>
      <c r="L73" s="21" t="n"/>
      <c r="M73" s="20" t="n"/>
      <c r="N73" s="23" t="n"/>
      <c r="O73" s="21" t="n"/>
    </row>
    <row r="74">
      <c r="A74" s="19">
        <f>IF($C74="","CHƯA NHẬP",IF($B74="","HỢP LỆ","LỖI"))</f>
        <v/>
      </c>
      <c r="B74" s="19">
        <f>IF($C74="","",TEXTJOIN(" | ",TRUE,IF(COUNTIF('01_HO_SO'!$C$6:$C$505,$C74)=0,"Mã chưa có ở Bước 1",""),IF(COUNTIF($C$6:$C$505,$C74)&gt;1,"Trùng mã trong thông tin công việc",""),IF($D74="","Thiếu trạng thái làm việc",""),IF($E74="","Thiếu ngày vào công ty",IF(OR(NOT(ISNUMBER($E74)),$E74&gt;TODAY()),"Ngày vào công ty không hợp lệ","")),IF($G74="","Thiếu phòng ban",""),IF($I74="","Thiếu chức danh",""),IF(AND($M74&lt;&gt;"",COUNTIF('01_HO_SO'!$C$6:$C$505,$M74)=0),"Mã quản lý không tồn tại",""),IF(AND($M74&lt;&gt;"",$M74=$C74),"Không thể tự quản lý chính mình",""),IF(OR($N74&lt;0,$N74&gt;1000000000),"Lương cơ bản ngoài phạm vi","")))</f>
        <v/>
      </c>
      <c r="C74" s="20" t="n"/>
      <c r="D74" s="21" t="n"/>
      <c r="E74" s="22" t="n"/>
      <c r="F74" s="21" t="n"/>
      <c r="G74" s="21" t="n"/>
      <c r="H74" s="21" t="n"/>
      <c r="I74" s="21" t="n"/>
      <c r="J74" s="19">
        <f>IF($I74="","",IFERROR(INDEX(DANH_MUC!$D$4:$D$1000,MATCH($I74,DANH_MUC!$C$4:$C$1000,0)),""))</f>
        <v/>
      </c>
      <c r="K74" s="21" t="n"/>
      <c r="L74" s="21" t="n"/>
      <c r="M74" s="20" t="n"/>
      <c r="N74" s="23" t="n"/>
      <c r="O74" s="21" t="n"/>
    </row>
    <row r="75">
      <c r="A75" s="19">
        <f>IF($C75="","CHƯA NHẬP",IF($B75="","HỢP LỆ","LỖI"))</f>
        <v/>
      </c>
      <c r="B75" s="19">
        <f>IF($C75="","",TEXTJOIN(" | ",TRUE,IF(COUNTIF('01_HO_SO'!$C$6:$C$505,$C75)=0,"Mã chưa có ở Bước 1",""),IF(COUNTIF($C$6:$C$505,$C75)&gt;1,"Trùng mã trong thông tin công việc",""),IF($D75="","Thiếu trạng thái làm việc",""),IF($E75="","Thiếu ngày vào công ty",IF(OR(NOT(ISNUMBER($E75)),$E75&gt;TODAY()),"Ngày vào công ty không hợp lệ","")),IF($G75="","Thiếu phòng ban",""),IF($I75="","Thiếu chức danh",""),IF(AND($M75&lt;&gt;"",COUNTIF('01_HO_SO'!$C$6:$C$505,$M75)=0),"Mã quản lý không tồn tại",""),IF(AND($M75&lt;&gt;"",$M75=$C75),"Không thể tự quản lý chính mình",""),IF(OR($N75&lt;0,$N75&gt;1000000000),"Lương cơ bản ngoài phạm vi","")))</f>
        <v/>
      </c>
      <c r="C75" s="20" t="n"/>
      <c r="D75" s="21" t="n"/>
      <c r="E75" s="22" t="n"/>
      <c r="F75" s="21" t="n"/>
      <c r="G75" s="21" t="n"/>
      <c r="H75" s="21" t="n"/>
      <c r="I75" s="21" t="n"/>
      <c r="J75" s="19">
        <f>IF($I75="","",IFERROR(INDEX(DANH_MUC!$D$4:$D$1000,MATCH($I75,DANH_MUC!$C$4:$C$1000,0)),""))</f>
        <v/>
      </c>
      <c r="K75" s="21" t="n"/>
      <c r="L75" s="21" t="n"/>
      <c r="M75" s="20" t="n"/>
      <c r="N75" s="23" t="n"/>
      <c r="O75" s="21" t="n"/>
    </row>
    <row r="76">
      <c r="A76" s="19">
        <f>IF($C76="","CHƯA NHẬP",IF($B76="","HỢP LỆ","LỖI"))</f>
        <v/>
      </c>
      <c r="B76" s="19">
        <f>IF($C76="","",TEXTJOIN(" | ",TRUE,IF(COUNTIF('01_HO_SO'!$C$6:$C$505,$C76)=0,"Mã chưa có ở Bước 1",""),IF(COUNTIF($C$6:$C$505,$C76)&gt;1,"Trùng mã trong thông tin công việc",""),IF($D76="","Thiếu trạng thái làm việc",""),IF($E76="","Thiếu ngày vào công ty",IF(OR(NOT(ISNUMBER($E76)),$E76&gt;TODAY()),"Ngày vào công ty không hợp lệ","")),IF($G76="","Thiếu phòng ban",""),IF($I76="","Thiếu chức danh",""),IF(AND($M76&lt;&gt;"",COUNTIF('01_HO_SO'!$C$6:$C$505,$M76)=0),"Mã quản lý không tồn tại",""),IF(AND($M76&lt;&gt;"",$M76=$C76),"Không thể tự quản lý chính mình",""),IF(OR($N76&lt;0,$N76&gt;1000000000),"Lương cơ bản ngoài phạm vi","")))</f>
        <v/>
      </c>
      <c r="C76" s="20" t="n"/>
      <c r="D76" s="21" t="n"/>
      <c r="E76" s="22" t="n"/>
      <c r="F76" s="21" t="n"/>
      <c r="G76" s="21" t="n"/>
      <c r="H76" s="21" t="n"/>
      <c r="I76" s="21" t="n"/>
      <c r="J76" s="19">
        <f>IF($I76="","",IFERROR(INDEX(DANH_MUC!$D$4:$D$1000,MATCH($I76,DANH_MUC!$C$4:$C$1000,0)),""))</f>
        <v/>
      </c>
      <c r="K76" s="21" t="n"/>
      <c r="L76" s="21" t="n"/>
      <c r="M76" s="20" t="n"/>
      <c r="N76" s="23" t="n"/>
      <c r="O76" s="21" t="n"/>
    </row>
    <row r="77">
      <c r="A77" s="19">
        <f>IF($C77="","CHƯA NHẬP",IF($B77="","HỢP LỆ","LỖI"))</f>
        <v/>
      </c>
      <c r="B77" s="19">
        <f>IF($C77="","",TEXTJOIN(" | ",TRUE,IF(COUNTIF('01_HO_SO'!$C$6:$C$505,$C77)=0,"Mã chưa có ở Bước 1",""),IF(COUNTIF($C$6:$C$505,$C77)&gt;1,"Trùng mã trong thông tin công việc",""),IF($D77="","Thiếu trạng thái làm việc",""),IF($E77="","Thiếu ngày vào công ty",IF(OR(NOT(ISNUMBER($E77)),$E77&gt;TODAY()),"Ngày vào công ty không hợp lệ","")),IF($G77="","Thiếu phòng ban",""),IF($I77="","Thiếu chức danh",""),IF(AND($M77&lt;&gt;"",COUNTIF('01_HO_SO'!$C$6:$C$505,$M77)=0),"Mã quản lý không tồn tại",""),IF(AND($M77&lt;&gt;"",$M77=$C77),"Không thể tự quản lý chính mình",""),IF(OR($N77&lt;0,$N77&gt;1000000000),"Lương cơ bản ngoài phạm vi","")))</f>
        <v/>
      </c>
      <c r="C77" s="20" t="n"/>
      <c r="D77" s="21" t="n"/>
      <c r="E77" s="22" t="n"/>
      <c r="F77" s="21" t="n"/>
      <c r="G77" s="21" t="n"/>
      <c r="H77" s="21" t="n"/>
      <c r="I77" s="21" t="n"/>
      <c r="J77" s="19">
        <f>IF($I77="","",IFERROR(INDEX(DANH_MUC!$D$4:$D$1000,MATCH($I77,DANH_MUC!$C$4:$C$1000,0)),""))</f>
        <v/>
      </c>
      <c r="K77" s="21" t="n"/>
      <c r="L77" s="21" t="n"/>
      <c r="M77" s="20" t="n"/>
      <c r="N77" s="23" t="n"/>
      <c r="O77" s="21" t="n"/>
    </row>
    <row r="78">
      <c r="A78" s="19">
        <f>IF($C78="","CHƯA NHẬP",IF($B78="","HỢP LỆ","LỖI"))</f>
        <v/>
      </c>
      <c r="B78" s="19">
        <f>IF($C78="","",TEXTJOIN(" | ",TRUE,IF(COUNTIF('01_HO_SO'!$C$6:$C$505,$C78)=0,"Mã chưa có ở Bước 1",""),IF(COUNTIF($C$6:$C$505,$C78)&gt;1,"Trùng mã trong thông tin công việc",""),IF($D78="","Thiếu trạng thái làm việc",""),IF($E78="","Thiếu ngày vào công ty",IF(OR(NOT(ISNUMBER($E78)),$E78&gt;TODAY()),"Ngày vào công ty không hợp lệ","")),IF($G78="","Thiếu phòng ban",""),IF($I78="","Thiếu chức danh",""),IF(AND($M78&lt;&gt;"",COUNTIF('01_HO_SO'!$C$6:$C$505,$M78)=0),"Mã quản lý không tồn tại",""),IF(AND($M78&lt;&gt;"",$M78=$C78),"Không thể tự quản lý chính mình",""),IF(OR($N78&lt;0,$N78&gt;1000000000),"Lương cơ bản ngoài phạm vi","")))</f>
        <v/>
      </c>
      <c r="C78" s="20" t="n"/>
      <c r="D78" s="21" t="n"/>
      <c r="E78" s="22" t="n"/>
      <c r="F78" s="21" t="n"/>
      <c r="G78" s="21" t="n"/>
      <c r="H78" s="21" t="n"/>
      <c r="I78" s="21" t="n"/>
      <c r="J78" s="19">
        <f>IF($I78="","",IFERROR(INDEX(DANH_MUC!$D$4:$D$1000,MATCH($I78,DANH_MUC!$C$4:$C$1000,0)),""))</f>
        <v/>
      </c>
      <c r="K78" s="21" t="n"/>
      <c r="L78" s="21" t="n"/>
      <c r="M78" s="20" t="n"/>
      <c r="N78" s="23" t="n"/>
      <c r="O78" s="21" t="n"/>
    </row>
    <row r="79">
      <c r="A79" s="19">
        <f>IF($C79="","CHƯA NHẬP",IF($B79="","HỢP LỆ","LỖI"))</f>
        <v/>
      </c>
      <c r="B79" s="19">
        <f>IF($C79="","",TEXTJOIN(" | ",TRUE,IF(COUNTIF('01_HO_SO'!$C$6:$C$505,$C79)=0,"Mã chưa có ở Bước 1",""),IF(COUNTIF($C$6:$C$505,$C79)&gt;1,"Trùng mã trong thông tin công việc",""),IF($D79="","Thiếu trạng thái làm việc",""),IF($E79="","Thiếu ngày vào công ty",IF(OR(NOT(ISNUMBER($E79)),$E79&gt;TODAY()),"Ngày vào công ty không hợp lệ","")),IF($G79="","Thiếu phòng ban",""),IF($I79="","Thiếu chức danh",""),IF(AND($M79&lt;&gt;"",COUNTIF('01_HO_SO'!$C$6:$C$505,$M79)=0),"Mã quản lý không tồn tại",""),IF(AND($M79&lt;&gt;"",$M79=$C79),"Không thể tự quản lý chính mình",""),IF(OR($N79&lt;0,$N79&gt;1000000000),"Lương cơ bản ngoài phạm vi","")))</f>
        <v/>
      </c>
      <c r="C79" s="20" t="n"/>
      <c r="D79" s="21" t="n"/>
      <c r="E79" s="22" t="n"/>
      <c r="F79" s="21" t="n"/>
      <c r="G79" s="21" t="n"/>
      <c r="H79" s="21" t="n"/>
      <c r="I79" s="21" t="n"/>
      <c r="J79" s="19">
        <f>IF($I79="","",IFERROR(INDEX(DANH_MUC!$D$4:$D$1000,MATCH($I79,DANH_MUC!$C$4:$C$1000,0)),""))</f>
        <v/>
      </c>
      <c r="K79" s="21" t="n"/>
      <c r="L79" s="21" t="n"/>
      <c r="M79" s="20" t="n"/>
      <c r="N79" s="23" t="n"/>
      <c r="O79" s="21" t="n"/>
    </row>
    <row r="80">
      <c r="A80" s="19">
        <f>IF($C80="","CHƯA NHẬP",IF($B80="","HỢP LỆ","LỖI"))</f>
        <v/>
      </c>
      <c r="B80" s="19">
        <f>IF($C80="","",TEXTJOIN(" | ",TRUE,IF(COUNTIF('01_HO_SO'!$C$6:$C$505,$C80)=0,"Mã chưa có ở Bước 1",""),IF(COUNTIF($C$6:$C$505,$C80)&gt;1,"Trùng mã trong thông tin công việc",""),IF($D80="","Thiếu trạng thái làm việc",""),IF($E80="","Thiếu ngày vào công ty",IF(OR(NOT(ISNUMBER($E80)),$E80&gt;TODAY()),"Ngày vào công ty không hợp lệ","")),IF($G80="","Thiếu phòng ban",""),IF($I80="","Thiếu chức danh",""),IF(AND($M80&lt;&gt;"",COUNTIF('01_HO_SO'!$C$6:$C$505,$M80)=0),"Mã quản lý không tồn tại",""),IF(AND($M80&lt;&gt;"",$M80=$C80),"Không thể tự quản lý chính mình",""),IF(OR($N80&lt;0,$N80&gt;1000000000),"Lương cơ bản ngoài phạm vi","")))</f>
        <v/>
      </c>
      <c r="C80" s="20" t="n"/>
      <c r="D80" s="21" t="n"/>
      <c r="E80" s="22" t="n"/>
      <c r="F80" s="21" t="n"/>
      <c r="G80" s="21" t="n"/>
      <c r="H80" s="21" t="n"/>
      <c r="I80" s="21" t="n"/>
      <c r="J80" s="19">
        <f>IF($I80="","",IFERROR(INDEX(DANH_MUC!$D$4:$D$1000,MATCH($I80,DANH_MUC!$C$4:$C$1000,0)),""))</f>
        <v/>
      </c>
      <c r="K80" s="21" t="n"/>
      <c r="L80" s="21" t="n"/>
      <c r="M80" s="20" t="n"/>
      <c r="N80" s="23" t="n"/>
      <c r="O80" s="21" t="n"/>
    </row>
    <row r="81">
      <c r="A81" s="19">
        <f>IF($C81="","CHƯA NHẬP",IF($B81="","HỢP LỆ","LỖI"))</f>
        <v/>
      </c>
      <c r="B81" s="19">
        <f>IF($C81="","",TEXTJOIN(" | ",TRUE,IF(COUNTIF('01_HO_SO'!$C$6:$C$505,$C81)=0,"Mã chưa có ở Bước 1",""),IF(COUNTIF($C$6:$C$505,$C81)&gt;1,"Trùng mã trong thông tin công việc",""),IF($D81="","Thiếu trạng thái làm việc",""),IF($E81="","Thiếu ngày vào công ty",IF(OR(NOT(ISNUMBER($E81)),$E81&gt;TODAY()),"Ngày vào công ty không hợp lệ","")),IF($G81="","Thiếu phòng ban",""),IF($I81="","Thiếu chức danh",""),IF(AND($M81&lt;&gt;"",COUNTIF('01_HO_SO'!$C$6:$C$505,$M81)=0),"Mã quản lý không tồn tại",""),IF(AND($M81&lt;&gt;"",$M81=$C81),"Không thể tự quản lý chính mình",""),IF(OR($N81&lt;0,$N81&gt;1000000000),"Lương cơ bản ngoài phạm vi","")))</f>
        <v/>
      </c>
      <c r="C81" s="20" t="n"/>
      <c r="D81" s="21" t="n"/>
      <c r="E81" s="22" t="n"/>
      <c r="F81" s="21" t="n"/>
      <c r="G81" s="21" t="n"/>
      <c r="H81" s="21" t="n"/>
      <c r="I81" s="21" t="n"/>
      <c r="J81" s="19">
        <f>IF($I81="","",IFERROR(INDEX(DANH_MUC!$D$4:$D$1000,MATCH($I81,DANH_MUC!$C$4:$C$1000,0)),""))</f>
        <v/>
      </c>
      <c r="K81" s="21" t="n"/>
      <c r="L81" s="21" t="n"/>
      <c r="M81" s="20" t="n"/>
      <c r="N81" s="23" t="n"/>
      <c r="O81" s="21" t="n"/>
    </row>
    <row r="82">
      <c r="A82" s="19">
        <f>IF($C82="","CHƯA NHẬP",IF($B82="","HỢP LỆ","LỖI"))</f>
        <v/>
      </c>
      <c r="B82" s="19">
        <f>IF($C82="","",TEXTJOIN(" | ",TRUE,IF(COUNTIF('01_HO_SO'!$C$6:$C$505,$C82)=0,"Mã chưa có ở Bước 1",""),IF(COUNTIF($C$6:$C$505,$C82)&gt;1,"Trùng mã trong thông tin công việc",""),IF($D82="","Thiếu trạng thái làm việc",""),IF($E82="","Thiếu ngày vào công ty",IF(OR(NOT(ISNUMBER($E82)),$E82&gt;TODAY()),"Ngày vào công ty không hợp lệ","")),IF($G82="","Thiếu phòng ban",""),IF($I82="","Thiếu chức danh",""),IF(AND($M82&lt;&gt;"",COUNTIF('01_HO_SO'!$C$6:$C$505,$M82)=0),"Mã quản lý không tồn tại",""),IF(AND($M82&lt;&gt;"",$M82=$C82),"Không thể tự quản lý chính mình",""),IF(OR($N82&lt;0,$N82&gt;1000000000),"Lương cơ bản ngoài phạm vi","")))</f>
        <v/>
      </c>
      <c r="C82" s="20" t="n"/>
      <c r="D82" s="21" t="n"/>
      <c r="E82" s="22" t="n"/>
      <c r="F82" s="21" t="n"/>
      <c r="G82" s="21" t="n"/>
      <c r="H82" s="21" t="n"/>
      <c r="I82" s="21" t="n"/>
      <c r="J82" s="19">
        <f>IF($I82="","",IFERROR(INDEX(DANH_MUC!$D$4:$D$1000,MATCH($I82,DANH_MUC!$C$4:$C$1000,0)),""))</f>
        <v/>
      </c>
      <c r="K82" s="21" t="n"/>
      <c r="L82" s="21" t="n"/>
      <c r="M82" s="20" t="n"/>
      <c r="N82" s="23" t="n"/>
      <c r="O82" s="21" t="n"/>
    </row>
    <row r="83">
      <c r="A83" s="19">
        <f>IF($C83="","CHƯA NHẬP",IF($B83="","HỢP LỆ","LỖI"))</f>
        <v/>
      </c>
      <c r="B83" s="19">
        <f>IF($C83="","",TEXTJOIN(" | ",TRUE,IF(COUNTIF('01_HO_SO'!$C$6:$C$505,$C83)=0,"Mã chưa có ở Bước 1",""),IF(COUNTIF($C$6:$C$505,$C83)&gt;1,"Trùng mã trong thông tin công việc",""),IF($D83="","Thiếu trạng thái làm việc",""),IF($E83="","Thiếu ngày vào công ty",IF(OR(NOT(ISNUMBER($E83)),$E83&gt;TODAY()),"Ngày vào công ty không hợp lệ","")),IF($G83="","Thiếu phòng ban",""),IF($I83="","Thiếu chức danh",""),IF(AND($M83&lt;&gt;"",COUNTIF('01_HO_SO'!$C$6:$C$505,$M83)=0),"Mã quản lý không tồn tại",""),IF(AND($M83&lt;&gt;"",$M83=$C83),"Không thể tự quản lý chính mình",""),IF(OR($N83&lt;0,$N83&gt;1000000000),"Lương cơ bản ngoài phạm vi","")))</f>
        <v/>
      </c>
      <c r="C83" s="20" t="n"/>
      <c r="D83" s="21" t="n"/>
      <c r="E83" s="22" t="n"/>
      <c r="F83" s="21" t="n"/>
      <c r="G83" s="21" t="n"/>
      <c r="H83" s="21" t="n"/>
      <c r="I83" s="21" t="n"/>
      <c r="J83" s="19">
        <f>IF($I83="","",IFERROR(INDEX(DANH_MUC!$D$4:$D$1000,MATCH($I83,DANH_MUC!$C$4:$C$1000,0)),""))</f>
        <v/>
      </c>
      <c r="K83" s="21" t="n"/>
      <c r="L83" s="21" t="n"/>
      <c r="M83" s="20" t="n"/>
      <c r="N83" s="23" t="n"/>
      <c r="O83" s="21" t="n"/>
    </row>
    <row r="84">
      <c r="A84" s="19">
        <f>IF($C84="","CHƯA NHẬP",IF($B84="","HỢP LỆ","LỖI"))</f>
        <v/>
      </c>
      <c r="B84" s="19">
        <f>IF($C84="","",TEXTJOIN(" | ",TRUE,IF(COUNTIF('01_HO_SO'!$C$6:$C$505,$C84)=0,"Mã chưa có ở Bước 1",""),IF(COUNTIF($C$6:$C$505,$C84)&gt;1,"Trùng mã trong thông tin công việc",""),IF($D84="","Thiếu trạng thái làm việc",""),IF($E84="","Thiếu ngày vào công ty",IF(OR(NOT(ISNUMBER($E84)),$E84&gt;TODAY()),"Ngày vào công ty không hợp lệ","")),IF($G84="","Thiếu phòng ban",""),IF($I84="","Thiếu chức danh",""),IF(AND($M84&lt;&gt;"",COUNTIF('01_HO_SO'!$C$6:$C$505,$M84)=0),"Mã quản lý không tồn tại",""),IF(AND($M84&lt;&gt;"",$M84=$C84),"Không thể tự quản lý chính mình",""),IF(OR($N84&lt;0,$N84&gt;1000000000),"Lương cơ bản ngoài phạm vi","")))</f>
        <v/>
      </c>
      <c r="C84" s="20" t="n"/>
      <c r="D84" s="21" t="n"/>
      <c r="E84" s="22" t="n"/>
      <c r="F84" s="21" t="n"/>
      <c r="G84" s="21" t="n"/>
      <c r="H84" s="21" t="n"/>
      <c r="I84" s="21" t="n"/>
      <c r="J84" s="19">
        <f>IF($I84="","",IFERROR(INDEX(DANH_MUC!$D$4:$D$1000,MATCH($I84,DANH_MUC!$C$4:$C$1000,0)),""))</f>
        <v/>
      </c>
      <c r="K84" s="21" t="n"/>
      <c r="L84" s="21" t="n"/>
      <c r="M84" s="20" t="n"/>
      <c r="N84" s="23" t="n"/>
      <c r="O84" s="21" t="n"/>
    </row>
    <row r="85">
      <c r="A85" s="19">
        <f>IF($C85="","CHƯA NHẬP",IF($B85="","HỢP LỆ","LỖI"))</f>
        <v/>
      </c>
      <c r="B85" s="19">
        <f>IF($C85="","",TEXTJOIN(" | ",TRUE,IF(COUNTIF('01_HO_SO'!$C$6:$C$505,$C85)=0,"Mã chưa có ở Bước 1",""),IF(COUNTIF($C$6:$C$505,$C85)&gt;1,"Trùng mã trong thông tin công việc",""),IF($D85="","Thiếu trạng thái làm việc",""),IF($E85="","Thiếu ngày vào công ty",IF(OR(NOT(ISNUMBER($E85)),$E85&gt;TODAY()),"Ngày vào công ty không hợp lệ","")),IF($G85="","Thiếu phòng ban",""),IF($I85="","Thiếu chức danh",""),IF(AND($M85&lt;&gt;"",COUNTIF('01_HO_SO'!$C$6:$C$505,$M85)=0),"Mã quản lý không tồn tại",""),IF(AND($M85&lt;&gt;"",$M85=$C85),"Không thể tự quản lý chính mình",""),IF(OR($N85&lt;0,$N85&gt;1000000000),"Lương cơ bản ngoài phạm vi","")))</f>
        <v/>
      </c>
      <c r="C85" s="20" t="n"/>
      <c r="D85" s="21" t="n"/>
      <c r="E85" s="22" t="n"/>
      <c r="F85" s="21" t="n"/>
      <c r="G85" s="21" t="n"/>
      <c r="H85" s="21" t="n"/>
      <c r="I85" s="21" t="n"/>
      <c r="J85" s="19">
        <f>IF($I85="","",IFERROR(INDEX(DANH_MUC!$D$4:$D$1000,MATCH($I85,DANH_MUC!$C$4:$C$1000,0)),""))</f>
        <v/>
      </c>
      <c r="K85" s="21" t="n"/>
      <c r="L85" s="21" t="n"/>
      <c r="M85" s="20" t="n"/>
      <c r="N85" s="23" t="n"/>
      <c r="O85" s="21" t="n"/>
    </row>
    <row r="86">
      <c r="A86" s="19">
        <f>IF($C86="","CHƯA NHẬP",IF($B86="","HỢP LỆ","LỖI"))</f>
        <v/>
      </c>
      <c r="B86" s="19">
        <f>IF($C86="","",TEXTJOIN(" | ",TRUE,IF(COUNTIF('01_HO_SO'!$C$6:$C$505,$C86)=0,"Mã chưa có ở Bước 1",""),IF(COUNTIF($C$6:$C$505,$C86)&gt;1,"Trùng mã trong thông tin công việc",""),IF($D86="","Thiếu trạng thái làm việc",""),IF($E86="","Thiếu ngày vào công ty",IF(OR(NOT(ISNUMBER($E86)),$E86&gt;TODAY()),"Ngày vào công ty không hợp lệ","")),IF($G86="","Thiếu phòng ban",""),IF($I86="","Thiếu chức danh",""),IF(AND($M86&lt;&gt;"",COUNTIF('01_HO_SO'!$C$6:$C$505,$M86)=0),"Mã quản lý không tồn tại",""),IF(AND($M86&lt;&gt;"",$M86=$C86),"Không thể tự quản lý chính mình",""),IF(OR($N86&lt;0,$N86&gt;1000000000),"Lương cơ bản ngoài phạm vi","")))</f>
        <v/>
      </c>
      <c r="C86" s="20" t="n"/>
      <c r="D86" s="21" t="n"/>
      <c r="E86" s="22" t="n"/>
      <c r="F86" s="21" t="n"/>
      <c r="G86" s="21" t="n"/>
      <c r="H86" s="21" t="n"/>
      <c r="I86" s="21" t="n"/>
      <c r="J86" s="19">
        <f>IF($I86="","",IFERROR(INDEX(DANH_MUC!$D$4:$D$1000,MATCH($I86,DANH_MUC!$C$4:$C$1000,0)),""))</f>
        <v/>
      </c>
      <c r="K86" s="21" t="n"/>
      <c r="L86" s="21" t="n"/>
      <c r="M86" s="20" t="n"/>
      <c r="N86" s="23" t="n"/>
      <c r="O86" s="21" t="n"/>
    </row>
    <row r="87">
      <c r="A87" s="19">
        <f>IF($C87="","CHƯA NHẬP",IF($B87="","HỢP LỆ","LỖI"))</f>
        <v/>
      </c>
      <c r="B87" s="19">
        <f>IF($C87="","",TEXTJOIN(" | ",TRUE,IF(COUNTIF('01_HO_SO'!$C$6:$C$505,$C87)=0,"Mã chưa có ở Bước 1",""),IF(COUNTIF($C$6:$C$505,$C87)&gt;1,"Trùng mã trong thông tin công việc",""),IF($D87="","Thiếu trạng thái làm việc",""),IF($E87="","Thiếu ngày vào công ty",IF(OR(NOT(ISNUMBER($E87)),$E87&gt;TODAY()),"Ngày vào công ty không hợp lệ","")),IF($G87="","Thiếu phòng ban",""),IF($I87="","Thiếu chức danh",""),IF(AND($M87&lt;&gt;"",COUNTIF('01_HO_SO'!$C$6:$C$505,$M87)=0),"Mã quản lý không tồn tại",""),IF(AND($M87&lt;&gt;"",$M87=$C87),"Không thể tự quản lý chính mình",""),IF(OR($N87&lt;0,$N87&gt;1000000000),"Lương cơ bản ngoài phạm vi","")))</f>
        <v/>
      </c>
      <c r="C87" s="20" t="n"/>
      <c r="D87" s="21" t="n"/>
      <c r="E87" s="22" t="n"/>
      <c r="F87" s="21" t="n"/>
      <c r="G87" s="21" t="n"/>
      <c r="H87" s="21" t="n"/>
      <c r="I87" s="21" t="n"/>
      <c r="J87" s="19">
        <f>IF($I87="","",IFERROR(INDEX(DANH_MUC!$D$4:$D$1000,MATCH($I87,DANH_MUC!$C$4:$C$1000,0)),""))</f>
        <v/>
      </c>
      <c r="K87" s="21" t="n"/>
      <c r="L87" s="21" t="n"/>
      <c r="M87" s="20" t="n"/>
      <c r="N87" s="23" t="n"/>
      <c r="O87" s="21" t="n"/>
    </row>
    <row r="88">
      <c r="A88" s="19">
        <f>IF($C88="","CHƯA NHẬP",IF($B88="","HỢP LỆ","LỖI"))</f>
        <v/>
      </c>
      <c r="B88" s="19">
        <f>IF($C88="","",TEXTJOIN(" | ",TRUE,IF(COUNTIF('01_HO_SO'!$C$6:$C$505,$C88)=0,"Mã chưa có ở Bước 1",""),IF(COUNTIF($C$6:$C$505,$C88)&gt;1,"Trùng mã trong thông tin công việc",""),IF($D88="","Thiếu trạng thái làm việc",""),IF($E88="","Thiếu ngày vào công ty",IF(OR(NOT(ISNUMBER($E88)),$E88&gt;TODAY()),"Ngày vào công ty không hợp lệ","")),IF($G88="","Thiếu phòng ban",""),IF($I88="","Thiếu chức danh",""),IF(AND($M88&lt;&gt;"",COUNTIF('01_HO_SO'!$C$6:$C$505,$M88)=0),"Mã quản lý không tồn tại",""),IF(AND($M88&lt;&gt;"",$M88=$C88),"Không thể tự quản lý chính mình",""),IF(OR($N88&lt;0,$N88&gt;1000000000),"Lương cơ bản ngoài phạm vi","")))</f>
        <v/>
      </c>
      <c r="C88" s="20" t="n"/>
      <c r="D88" s="21" t="n"/>
      <c r="E88" s="22" t="n"/>
      <c r="F88" s="21" t="n"/>
      <c r="G88" s="21" t="n"/>
      <c r="H88" s="21" t="n"/>
      <c r="I88" s="21" t="n"/>
      <c r="J88" s="19">
        <f>IF($I88="","",IFERROR(INDEX(DANH_MUC!$D$4:$D$1000,MATCH($I88,DANH_MUC!$C$4:$C$1000,0)),""))</f>
        <v/>
      </c>
      <c r="K88" s="21" t="n"/>
      <c r="L88" s="21" t="n"/>
      <c r="M88" s="20" t="n"/>
      <c r="N88" s="23" t="n"/>
      <c r="O88" s="21" t="n"/>
    </row>
    <row r="89">
      <c r="A89" s="19">
        <f>IF($C89="","CHƯA NHẬP",IF($B89="","HỢP LỆ","LỖI"))</f>
        <v/>
      </c>
      <c r="B89" s="19">
        <f>IF($C89="","",TEXTJOIN(" | ",TRUE,IF(COUNTIF('01_HO_SO'!$C$6:$C$505,$C89)=0,"Mã chưa có ở Bước 1",""),IF(COUNTIF($C$6:$C$505,$C89)&gt;1,"Trùng mã trong thông tin công việc",""),IF($D89="","Thiếu trạng thái làm việc",""),IF($E89="","Thiếu ngày vào công ty",IF(OR(NOT(ISNUMBER($E89)),$E89&gt;TODAY()),"Ngày vào công ty không hợp lệ","")),IF($G89="","Thiếu phòng ban",""),IF($I89="","Thiếu chức danh",""),IF(AND($M89&lt;&gt;"",COUNTIF('01_HO_SO'!$C$6:$C$505,$M89)=0),"Mã quản lý không tồn tại",""),IF(AND($M89&lt;&gt;"",$M89=$C89),"Không thể tự quản lý chính mình",""),IF(OR($N89&lt;0,$N89&gt;1000000000),"Lương cơ bản ngoài phạm vi","")))</f>
        <v/>
      </c>
      <c r="C89" s="20" t="n"/>
      <c r="D89" s="21" t="n"/>
      <c r="E89" s="22" t="n"/>
      <c r="F89" s="21" t="n"/>
      <c r="G89" s="21" t="n"/>
      <c r="H89" s="21" t="n"/>
      <c r="I89" s="21" t="n"/>
      <c r="J89" s="19">
        <f>IF($I89="","",IFERROR(INDEX(DANH_MUC!$D$4:$D$1000,MATCH($I89,DANH_MUC!$C$4:$C$1000,0)),""))</f>
        <v/>
      </c>
      <c r="K89" s="21" t="n"/>
      <c r="L89" s="21" t="n"/>
      <c r="M89" s="20" t="n"/>
      <c r="N89" s="23" t="n"/>
      <c r="O89" s="21" t="n"/>
    </row>
    <row r="90">
      <c r="A90" s="19">
        <f>IF($C90="","CHƯA NHẬP",IF($B90="","HỢP LỆ","LỖI"))</f>
        <v/>
      </c>
      <c r="B90" s="19">
        <f>IF($C90="","",TEXTJOIN(" | ",TRUE,IF(COUNTIF('01_HO_SO'!$C$6:$C$505,$C90)=0,"Mã chưa có ở Bước 1",""),IF(COUNTIF($C$6:$C$505,$C90)&gt;1,"Trùng mã trong thông tin công việc",""),IF($D90="","Thiếu trạng thái làm việc",""),IF($E90="","Thiếu ngày vào công ty",IF(OR(NOT(ISNUMBER($E90)),$E90&gt;TODAY()),"Ngày vào công ty không hợp lệ","")),IF($G90="","Thiếu phòng ban",""),IF($I90="","Thiếu chức danh",""),IF(AND($M90&lt;&gt;"",COUNTIF('01_HO_SO'!$C$6:$C$505,$M90)=0),"Mã quản lý không tồn tại",""),IF(AND($M90&lt;&gt;"",$M90=$C90),"Không thể tự quản lý chính mình",""),IF(OR($N90&lt;0,$N90&gt;1000000000),"Lương cơ bản ngoài phạm vi","")))</f>
        <v/>
      </c>
      <c r="C90" s="20" t="n"/>
      <c r="D90" s="21" t="n"/>
      <c r="E90" s="22" t="n"/>
      <c r="F90" s="21" t="n"/>
      <c r="G90" s="21" t="n"/>
      <c r="H90" s="21" t="n"/>
      <c r="I90" s="21" t="n"/>
      <c r="J90" s="19">
        <f>IF($I90="","",IFERROR(INDEX(DANH_MUC!$D$4:$D$1000,MATCH($I90,DANH_MUC!$C$4:$C$1000,0)),""))</f>
        <v/>
      </c>
      <c r="K90" s="21" t="n"/>
      <c r="L90" s="21" t="n"/>
      <c r="M90" s="20" t="n"/>
      <c r="N90" s="23" t="n"/>
      <c r="O90" s="21" t="n"/>
    </row>
    <row r="91">
      <c r="A91" s="19">
        <f>IF($C91="","CHƯA NHẬP",IF($B91="","HỢP LỆ","LỖI"))</f>
        <v/>
      </c>
      <c r="B91" s="19">
        <f>IF($C91="","",TEXTJOIN(" | ",TRUE,IF(COUNTIF('01_HO_SO'!$C$6:$C$505,$C91)=0,"Mã chưa có ở Bước 1",""),IF(COUNTIF($C$6:$C$505,$C91)&gt;1,"Trùng mã trong thông tin công việc",""),IF($D91="","Thiếu trạng thái làm việc",""),IF($E91="","Thiếu ngày vào công ty",IF(OR(NOT(ISNUMBER($E91)),$E91&gt;TODAY()),"Ngày vào công ty không hợp lệ","")),IF($G91="","Thiếu phòng ban",""),IF($I91="","Thiếu chức danh",""),IF(AND($M91&lt;&gt;"",COUNTIF('01_HO_SO'!$C$6:$C$505,$M91)=0),"Mã quản lý không tồn tại",""),IF(AND($M91&lt;&gt;"",$M91=$C91),"Không thể tự quản lý chính mình",""),IF(OR($N91&lt;0,$N91&gt;1000000000),"Lương cơ bản ngoài phạm vi","")))</f>
        <v/>
      </c>
      <c r="C91" s="20" t="n"/>
      <c r="D91" s="21" t="n"/>
      <c r="E91" s="22" t="n"/>
      <c r="F91" s="21" t="n"/>
      <c r="G91" s="21" t="n"/>
      <c r="H91" s="21" t="n"/>
      <c r="I91" s="21" t="n"/>
      <c r="J91" s="19">
        <f>IF($I91="","",IFERROR(INDEX(DANH_MUC!$D$4:$D$1000,MATCH($I91,DANH_MUC!$C$4:$C$1000,0)),""))</f>
        <v/>
      </c>
      <c r="K91" s="21" t="n"/>
      <c r="L91" s="21" t="n"/>
      <c r="M91" s="20" t="n"/>
      <c r="N91" s="23" t="n"/>
      <c r="O91" s="21" t="n"/>
    </row>
    <row r="92">
      <c r="A92" s="19">
        <f>IF($C92="","CHƯA NHẬP",IF($B92="","HỢP LỆ","LỖI"))</f>
        <v/>
      </c>
      <c r="B92" s="19">
        <f>IF($C92="","",TEXTJOIN(" | ",TRUE,IF(COUNTIF('01_HO_SO'!$C$6:$C$505,$C92)=0,"Mã chưa có ở Bước 1",""),IF(COUNTIF($C$6:$C$505,$C92)&gt;1,"Trùng mã trong thông tin công việc",""),IF($D92="","Thiếu trạng thái làm việc",""),IF($E92="","Thiếu ngày vào công ty",IF(OR(NOT(ISNUMBER($E92)),$E92&gt;TODAY()),"Ngày vào công ty không hợp lệ","")),IF($G92="","Thiếu phòng ban",""),IF($I92="","Thiếu chức danh",""),IF(AND($M92&lt;&gt;"",COUNTIF('01_HO_SO'!$C$6:$C$505,$M92)=0),"Mã quản lý không tồn tại",""),IF(AND($M92&lt;&gt;"",$M92=$C92),"Không thể tự quản lý chính mình",""),IF(OR($N92&lt;0,$N92&gt;1000000000),"Lương cơ bản ngoài phạm vi","")))</f>
        <v/>
      </c>
      <c r="C92" s="20" t="n"/>
      <c r="D92" s="21" t="n"/>
      <c r="E92" s="22" t="n"/>
      <c r="F92" s="21" t="n"/>
      <c r="G92" s="21" t="n"/>
      <c r="H92" s="21" t="n"/>
      <c r="I92" s="21" t="n"/>
      <c r="J92" s="19">
        <f>IF($I92="","",IFERROR(INDEX(DANH_MUC!$D$4:$D$1000,MATCH($I92,DANH_MUC!$C$4:$C$1000,0)),""))</f>
        <v/>
      </c>
      <c r="K92" s="21" t="n"/>
      <c r="L92" s="21" t="n"/>
      <c r="M92" s="20" t="n"/>
      <c r="N92" s="23" t="n"/>
      <c r="O92" s="21" t="n"/>
    </row>
    <row r="93">
      <c r="A93" s="19">
        <f>IF($C93="","CHƯA NHẬP",IF($B93="","HỢP LỆ","LỖI"))</f>
        <v/>
      </c>
      <c r="B93" s="19">
        <f>IF($C93="","",TEXTJOIN(" | ",TRUE,IF(COUNTIF('01_HO_SO'!$C$6:$C$505,$C93)=0,"Mã chưa có ở Bước 1",""),IF(COUNTIF($C$6:$C$505,$C93)&gt;1,"Trùng mã trong thông tin công việc",""),IF($D93="","Thiếu trạng thái làm việc",""),IF($E93="","Thiếu ngày vào công ty",IF(OR(NOT(ISNUMBER($E93)),$E93&gt;TODAY()),"Ngày vào công ty không hợp lệ","")),IF($G93="","Thiếu phòng ban",""),IF($I93="","Thiếu chức danh",""),IF(AND($M93&lt;&gt;"",COUNTIF('01_HO_SO'!$C$6:$C$505,$M93)=0),"Mã quản lý không tồn tại",""),IF(AND($M93&lt;&gt;"",$M93=$C93),"Không thể tự quản lý chính mình",""),IF(OR($N93&lt;0,$N93&gt;1000000000),"Lương cơ bản ngoài phạm vi","")))</f>
        <v/>
      </c>
      <c r="C93" s="20" t="n"/>
      <c r="D93" s="21" t="n"/>
      <c r="E93" s="22" t="n"/>
      <c r="F93" s="21" t="n"/>
      <c r="G93" s="21" t="n"/>
      <c r="H93" s="21" t="n"/>
      <c r="I93" s="21" t="n"/>
      <c r="J93" s="19">
        <f>IF($I93="","",IFERROR(INDEX(DANH_MUC!$D$4:$D$1000,MATCH($I93,DANH_MUC!$C$4:$C$1000,0)),""))</f>
        <v/>
      </c>
      <c r="K93" s="21" t="n"/>
      <c r="L93" s="21" t="n"/>
      <c r="M93" s="20" t="n"/>
      <c r="N93" s="23" t="n"/>
      <c r="O93" s="21" t="n"/>
    </row>
    <row r="94">
      <c r="A94" s="19">
        <f>IF($C94="","CHƯA NHẬP",IF($B94="","HỢP LỆ","LỖI"))</f>
        <v/>
      </c>
      <c r="B94" s="19">
        <f>IF($C94="","",TEXTJOIN(" | ",TRUE,IF(COUNTIF('01_HO_SO'!$C$6:$C$505,$C94)=0,"Mã chưa có ở Bước 1",""),IF(COUNTIF($C$6:$C$505,$C94)&gt;1,"Trùng mã trong thông tin công việc",""),IF($D94="","Thiếu trạng thái làm việc",""),IF($E94="","Thiếu ngày vào công ty",IF(OR(NOT(ISNUMBER($E94)),$E94&gt;TODAY()),"Ngày vào công ty không hợp lệ","")),IF($G94="","Thiếu phòng ban",""),IF($I94="","Thiếu chức danh",""),IF(AND($M94&lt;&gt;"",COUNTIF('01_HO_SO'!$C$6:$C$505,$M94)=0),"Mã quản lý không tồn tại",""),IF(AND($M94&lt;&gt;"",$M94=$C94),"Không thể tự quản lý chính mình",""),IF(OR($N94&lt;0,$N94&gt;1000000000),"Lương cơ bản ngoài phạm vi","")))</f>
        <v/>
      </c>
      <c r="C94" s="20" t="n"/>
      <c r="D94" s="21" t="n"/>
      <c r="E94" s="22" t="n"/>
      <c r="F94" s="21" t="n"/>
      <c r="G94" s="21" t="n"/>
      <c r="H94" s="21" t="n"/>
      <c r="I94" s="21" t="n"/>
      <c r="J94" s="19">
        <f>IF($I94="","",IFERROR(INDEX(DANH_MUC!$D$4:$D$1000,MATCH($I94,DANH_MUC!$C$4:$C$1000,0)),""))</f>
        <v/>
      </c>
      <c r="K94" s="21" t="n"/>
      <c r="L94" s="21" t="n"/>
      <c r="M94" s="20" t="n"/>
      <c r="N94" s="23" t="n"/>
      <c r="O94" s="21" t="n"/>
    </row>
    <row r="95">
      <c r="A95" s="19">
        <f>IF($C95="","CHƯA NHẬP",IF($B95="","HỢP LỆ","LỖI"))</f>
        <v/>
      </c>
      <c r="B95" s="19">
        <f>IF($C95="","",TEXTJOIN(" | ",TRUE,IF(COUNTIF('01_HO_SO'!$C$6:$C$505,$C95)=0,"Mã chưa có ở Bước 1",""),IF(COUNTIF($C$6:$C$505,$C95)&gt;1,"Trùng mã trong thông tin công việc",""),IF($D95="","Thiếu trạng thái làm việc",""),IF($E95="","Thiếu ngày vào công ty",IF(OR(NOT(ISNUMBER($E95)),$E95&gt;TODAY()),"Ngày vào công ty không hợp lệ","")),IF($G95="","Thiếu phòng ban",""),IF($I95="","Thiếu chức danh",""),IF(AND($M95&lt;&gt;"",COUNTIF('01_HO_SO'!$C$6:$C$505,$M95)=0),"Mã quản lý không tồn tại",""),IF(AND($M95&lt;&gt;"",$M95=$C95),"Không thể tự quản lý chính mình",""),IF(OR($N95&lt;0,$N95&gt;1000000000),"Lương cơ bản ngoài phạm vi","")))</f>
        <v/>
      </c>
      <c r="C95" s="20" t="n"/>
      <c r="D95" s="21" t="n"/>
      <c r="E95" s="22" t="n"/>
      <c r="F95" s="21" t="n"/>
      <c r="G95" s="21" t="n"/>
      <c r="H95" s="21" t="n"/>
      <c r="I95" s="21" t="n"/>
      <c r="J95" s="19">
        <f>IF($I95="","",IFERROR(INDEX(DANH_MUC!$D$4:$D$1000,MATCH($I95,DANH_MUC!$C$4:$C$1000,0)),""))</f>
        <v/>
      </c>
      <c r="K95" s="21" t="n"/>
      <c r="L95" s="21" t="n"/>
      <c r="M95" s="20" t="n"/>
      <c r="N95" s="23" t="n"/>
      <c r="O95" s="21" t="n"/>
    </row>
    <row r="96">
      <c r="A96" s="19">
        <f>IF($C96="","CHƯA NHẬP",IF($B96="","HỢP LỆ","LỖI"))</f>
        <v/>
      </c>
      <c r="B96" s="19">
        <f>IF($C96="","",TEXTJOIN(" | ",TRUE,IF(COUNTIF('01_HO_SO'!$C$6:$C$505,$C96)=0,"Mã chưa có ở Bước 1",""),IF(COUNTIF($C$6:$C$505,$C96)&gt;1,"Trùng mã trong thông tin công việc",""),IF($D96="","Thiếu trạng thái làm việc",""),IF($E96="","Thiếu ngày vào công ty",IF(OR(NOT(ISNUMBER($E96)),$E96&gt;TODAY()),"Ngày vào công ty không hợp lệ","")),IF($G96="","Thiếu phòng ban",""),IF($I96="","Thiếu chức danh",""),IF(AND($M96&lt;&gt;"",COUNTIF('01_HO_SO'!$C$6:$C$505,$M96)=0),"Mã quản lý không tồn tại",""),IF(AND($M96&lt;&gt;"",$M96=$C96),"Không thể tự quản lý chính mình",""),IF(OR($N96&lt;0,$N96&gt;1000000000),"Lương cơ bản ngoài phạm vi","")))</f>
        <v/>
      </c>
      <c r="C96" s="20" t="n"/>
      <c r="D96" s="21" t="n"/>
      <c r="E96" s="22" t="n"/>
      <c r="F96" s="21" t="n"/>
      <c r="G96" s="21" t="n"/>
      <c r="H96" s="21" t="n"/>
      <c r="I96" s="21" t="n"/>
      <c r="J96" s="19">
        <f>IF($I96="","",IFERROR(INDEX(DANH_MUC!$D$4:$D$1000,MATCH($I96,DANH_MUC!$C$4:$C$1000,0)),""))</f>
        <v/>
      </c>
      <c r="K96" s="21" t="n"/>
      <c r="L96" s="21" t="n"/>
      <c r="M96" s="20" t="n"/>
      <c r="N96" s="23" t="n"/>
      <c r="O96" s="21" t="n"/>
    </row>
    <row r="97">
      <c r="A97" s="19">
        <f>IF($C97="","CHƯA NHẬP",IF($B97="","HỢP LỆ","LỖI"))</f>
        <v/>
      </c>
      <c r="B97" s="19">
        <f>IF($C97="","",TEXTJOIN(" | ",TRUE,IF(COUNTIF('01_HO_SO'!$C$6:$C$505,$C97)=0,"Mã chưa có ở Bước 1",""),IF(COUNTIF($C$6:$C$505,$C97)&gt;1,"Trùng mã trong thông tin công việc",""),IF($D97="","Thiếu trạng thái làm việc",""),IF($E97="","Thiếu ngày vào công ty",IF(OR(NOT(ISNUMBER($E97)),$E97&gt;TODAY()),"Ngày vào công ty không hợp lệ","")),IF($G97="","Thiếu phòng ban",""),IF($I97="","Thiếu chức danh",""),IF(AND($M97&lt;&gt;"",COUNTIF('01_HO_SO'!$C$6:$C$505,$M97)=0),"Mã quản lý không tồn tại",""),IF(AND($M97&lt;&gt;"",$M97=$C97),"Không thể tự quản lý chính mình",""),IF(OR($N97&lt;0,$N97&gt;1000000000),"Lương cơ bản ngoài phạm vi","")))</f>
        <v/>
      </c>
      <c r="C97" s="20" t="n"/>
      <c r="D97" s="21" t="n"/>
      <c r="E97" s="22" t="n"/>
      <c r="F97" s="21" t="n"/>
      <c r="G97" s="21" t="n"/>
      <c r="H97" s="21" t="n"/>
      <c r="I97" s="21" t="n"/>
      <c r="J97" s="19">
        <f>IF($I97="","",IFERROR(INDEX(DANH_MUC!$D$4:$D$1000,MATCH($I97,DANH_MUC!$C$4:$C$1000,0)),""))</f>
        <v/>
      </c>
      <c r="K97" s="21" t="n"/>
      <c r="L97" s="21" t="n"/>
      <c r="M97" s="20" t="n"/>
      <c r="N97" s="23" t="n"/>
      <c r="O97" s="21" t="n"/>
    </row>
    <row r="98">
      <c r="A98" s="19">
        <f>IF($C98="","CHƯA NHẬP",IF($B98="","HỢP LỆ","LỖI"))</f>
        <v/>
      </c>
      <c r="B98" s="19">
        <f>IF($C98="","",TEXTJOIN(" | ",TRUE,IF(COUNTIF('01_HO_SO'!$C$6:$C$505,$C98)=0,"Mã chưa có ở Bước 1",""),IF(COUNTIF($C$6:$C$505,$C98)&gt;1,"Trùng mã trong thông tin công việc",""),IF($D98="","Thiếu trạng thái làm việc",""),IF($E98="","Thiếu ngày vào công ty",IF(OR(NOT(ISNUMBER($E98)),$E98&gt;TODAY()),"Ngày vào công ty không hợp lệ","")),IF($G98="","Thiếu phòng ban",""),IF($I98="","Thiếu chức danh",""),IF(AND($M98&lt;&gt;"",COUNTIF('01_HO_SO'!$C$6:$C$505,$M98)=0),"Mã quản lý không tồn tại",""),IF(AND($M98&lt;&gt;"",$M98=$C98),"Không thể tự quản lý chính mình",""),IF(OR($N98&lt;0,$N98&gt;1000000000),"Lương cơ bản ngoài phạm vi","")))</f>
        <v/>
      </c>
      <c r="C98" s="20" t="n"/>
      <c r="D98" s="21" t="n"/>
      <c r="E98" s="22" t="n"/>
      <c r="F98" s="21" t="n"/>
      <c r="G98" s="21" t="n"/>
      <c r="H98" s="21" t="n"/>
      <c r="I98" s="21" t="n"/>
      <c r="J98" s="19">
        <f>IF($I98="","",IFERROR(INDEX(DANH_MUC!$D$4:$D$1000,MATCH($I98,DANH_MUC!$C$4:$C$1000,0)),""))</f>
        <v/>
      </c>
      <c r="K98" s="21" t="n"/>
      <c r="L98" s="21" t="n"/>
      <c r="M98" s="20" t="n"/>
      <c r="N98" s="23" t="n"/>
      <c r="O98" s="21" t="n"/>
    </row>
    <row r="99">
      <c r="A99" s="19">
        <f>IF($C99="","CHƯA NHẬP",IF($B99="","HỢP LỆ","LỖI"))</f>
        <v/>
      </c>
      <c r="B99" s="19">
        <f>IF($C99="","",TEXTJOIN(" | ",TRUE,IF(COUNTIF('01_HO_SO'!$C$6:$C$505,$C99)=0,"Mã chưa có ở Bước 1",""),IF(COUNTIF($C$6:$C$505,$C99)&gt;1,"Trùng mã trong thông tin công việc",""),IF($D99="","Thiếu trạng thái làm việc",""),IF($E99="","Thiếu ngày vào công ty",IF(OR(NOT(ISNUMBER($E99)),$E99&gt;TODAY()),"Ngày vào công ty không hợp lệ","")),IF($G99="","Thiếu phòng ban",""),IF($I99="","Thiếu chức danh",""),IF(AND($M99&lt;&gt;"",COUNTIF('01_HO_SO'!$C$6:$C$505,$M99)=0),"Mã quản lý không tồn tại",""),IF(AND($M99&lt;&gt;"",$M99=$C99),"Không thể tự quản lý chính mình",""),IF(OR($N99&lt;0,$N99&gt;1000000000),"Lương cơ bản ngoài phạm vi","")))</f>
        <v/>
      </c>
      <c r="C99" s="20" t="n"/>
      <c r="D99" s="21" t="n"/>
      <c r="E99" s="22" t="n"/>
      <c r="F99" s="21" t="n"/>
      <c r="G99" s="21" t="n"/>
      <c r="H99" s="21" t="n"/>
      <c r="I99" s="21" t="n"/>
      <c r="J99" s="19">
        <f>IF($I99="","",IFERROR(INDEX(DANH_MUC!$D$4:$D$1000,MATCH($I99,DANH_MUC!$C$4:$C$1000,0)),""))</f>
        <v/>
      </c>
      <c r="K99" s="21" t="n"/>
      <c r="L99" s="21" t="n"/>
      <c r="M99" s="20" t="n"/>
      <c r="N99" s="23" t="n"/>
      <c r="O99" s="21" t="n"/>
    </row>
    <row r="100">
      <c r="A100" s="19">
        <f>IF($C100="","CHƯA NHẬP",IF($B100="","HỢP LỆ","LỖI"))</f>
        <v/>
      </c>
      <c r="B100" s="19">
        <f>IF($C100="","",TEXTJOIN(" | ",TRUE,IF(COUNTIF('01_HO_SO'!$C$6:$C$505,$C100)=0,"Mã chưa có ở Bước 1",""),IF(COUNTIF($C$6:$C$505,$C100)&gt;1,"Trùng mã trong thông tin công việc",""),IF($D100="","Thiếu trạng thái làm việc",""),IF($E100="","Thiếu ngày vào công ty",IF(OR(NOT(ISNUMBER($E100)),$E100&gt;TODAY()),"Ngày vào công ty không hợp lệ","")),IF($G100="","Thiếu phòng ban",""),IF($I100="","Thiếu chức danh",""),IF(AND($M100&lt;&gt;"",COUNTIF('01_HO_SO'!$C$6:$C$505,$M100)=0),"Mã quản lý không tồn tại",""),IF(AND($M100&lt;&gt;"",$M100=$C100),"Không thể tự quản lý chính mình",""),IF(OR($N100&lt;0,$N100&gt;1000000000),"Lương cơ bản ngoài phạm vi","")))</f>
        <v/>
      </c>
      <c r="C100" s="20" t="n"/>
      <c r="D100" s="21" t="n"/>
      <c r="E100" s="22" t="n"/>
      <c r="F100" s="21" t="n"/>
      <c r="G100" s="21" t="n"/>
      <c r="H100" s="21" t="n"/>
      <c r="I100" s="21" t="n"/>
      <c r="J100" s="19">
        <f>IF($I100="","",IFERROR(INDEX(DANH_MUC!$D$4:$D$1000,MATCH($I100,DANH_MUC!$C$4:$C$1000,0)),""))</f>
        <v/>
      </c>
      <c r="K100" s="21" t="n"/>
      <c r="L100" s="21" t="n"/>
      <c r="M100" s="20" t="n"/>
      <c r="N100" s="23" t="n"/>
      <c r="O100" s="21" t="n"/>
    </row>
    <row r="101">
      <c r="A101" s="19">
        <f>IF($C101="","CHƯA NHẬP",IF($B101="","HỢP LỆ","LỖI"))</f>
        <v/>
      </c>
      <c r="B101" s="19">
        <f>IF($C101="","",TEXTJOIN(" | ",TRUE,IF(COUNTIF('01_HO_SO'!$C$6:$C$505,$C101)=0,"Mã chưa có ở Bước 1",""),IF(COUNTIF($C$6:$C$505,$C101)&gt;1,"Trùng mã trong thông tin công việc",""),IF($D101="","Thiếu trạng thái làm việc",""),IF($E101="","Thiếu ngày vào công ty",IF(OR(NOT(ISNUMBER($E101)),$E101&gt;TODAY()),"Ngày vào công ty không hợp lệ","")),IF($G101="","Thiếu phòng ban",""),IF($I101="","Thiếu chức danh",""),IF(AND($M101&lt;&gt;"",COUNTIF('01_HO_SO'!$C$6:$C$505,$M101)=0),"Mã quản lý không tồn tại",""),IF(AND($M101&lt;&gt;"",$M101=$C101),"Không thể tự quản lý chính mình",""),IF(OR($N101&lt;0,$N101&gt;1000000000),"Lương cơ bản ngoài phạm vi","")))</f>
        <v/>
      </c>
      <c r="C101" s="20" t="n"/>
      <c r="D101" s="21" t="n"/>
      <c r="E101" s="22" t="n"/>
      <c r="F101" s="21" t="n"/>
      <c r="G101" s="21" t="n"/>
      <c r="H101" s="21" t="n"/>
      <c r="I101" s="21" t="n"/>
      <c r="J101" s="19">
        <f>IF($I101="","",IFERROR(INDEX(DANH_MUC!$D$4:$D$1000,MATCH($I101,DANH_MUC!$C$4:$C$1000,0)),""))</f>
        <v/>
      </c>
      <c r="K101" s="21" t="n"/>
      <c r="L101" s="21" t="n"/>
      <c r="M101" s="20" t="n"/>
      <c r="N101" s="23" t="n"/>
      <c r="O101" s="21" t="n"/>
    </row>
    <row r="102">
      <c r="A102" s="19">
        <f>IF($C102="","CHƯA NHẬP",IF($B102="","HỢP LỆ","LỖI"))</f>
        <v/>
      </c>
      <c r="B102" s="19">
        <f>IF($C102="","",TEXTJOIN(" | ",TRUE,IF(COUNTIF('01_HO_SO'!$C$6:$C$505,$C102)=0,"Mã chưa có ở Bước 1",""),IF(COUNTIF($C$6:$C$505,$C102)&gt;1,"Trùng mã trong thông tin công việc",""),IF($D102="","Thiếu trạng thái làm việc",""),IF($E102="","Thiếu ngày vào công ty",IF(OR(NOT(ISNUMBER($E102)),$E102&gt;TODAY()),"Ngày vào công ty không hợp lệ","")),IF($G102="","Thiếu phòng ban",""),IF($I102="","Thiếu chức danh",""),IF(AND($M102&lt;&gt;"",COUNTIF('01_HO_SO'!$C$6:$C$505,$M102)=0),"Mã quản lý không tồn tại",""),IF(AND($M102&lt;&gt;"",$M102=$C102),"Không thể tự quản lý chính mình",""),IF(OR($N102&lt;0,$N102&gt;1000000000),"Lương cơ bản ngoài phạm vi","")))</f>
        <v/>
      </c>
      <c r="C102" s="20" t="n"/>
      <c r="D102" s="21" t="n"/>
      <c r="E102" s="22" t="n"/>
      <c r="F102" s="21" t="n"/>
      <c r="G102" s="21" t="n"/>
      <c r="H102" s="21" t="n"/>
      <c r="I102" s="21" t="n"/>
      <c r="J102" s="19">
        <f>IF($I102="","",IFERROR(INDEX(DANH_MUC!$D$4:$D$1000,MATCH($I102,DANH_MUC!$C$4:$C$1000,0)),""))</f>
        <v/>
      </c>
      <c r="K102" s="21" t="n"/>
      <c r="L102" s="21" t="n"/>
      <c r="M102" s="20" t="n"/>
      <c r="N102" s="23" t="n"/>
      <c r="O102" s="21" t="n"/>
    </row>
    <row r="103">
      <c r="A103" s="19">
        <f>IF($C103="","CHƯA NHẬP",IF($B103="","HỢP LỆ","LỖI"))</f>
        <v/>
      </c>
      <c r="B103" s="19">
        <f>IF($C103="","",TEXTJOIN(" | ",TRUE,IF(COUNTIF('01_HO_SO'!$C$6:$C$505,$C103)=0,"Mã chưa có ở Bước 1",""),IF(COUNTIF($C$6:$C$505,$C103)&gt;1,"Trùng mã trong thông tin công việc",""),IF($D103="","Thiếu trạng thái làm việc",""),IF($E103="","Thiếu ngày vào công ty",IF(OR(NOT(ISNUMBER($E103)),$E103&gt;TODAY()),"Ngày vào công ty không hợp lệ","")),IF($G103="","Thiếu phòng ban",""),IF($I103="","Thiếu chức danh",""),IF(AND($M103&lt;&gt;"",COUNTIF('01_HO_SO'!$C$6:$C$505,$M103)=0),"Mã quản lý không tồn tại",""),IF(AND($M103&lt;&gt;"",$M103=$C103),"Không thể tự quản lý chính mình",""),IF(OR($N103&lt;0,$N103&gt;1000000000),"Lương cơ bản ngoài phạm vi","")))</f>
        <v/>
      </c>
      <c r="C103" s="20" t="n"/>
      <c r="D103" s="21" t="n"/>
      <c r="E103" s="22" t="n"/>
      <c r="F103" s="21" t="n"/>
      <c r="G103" s="21" t="n"/>
      <c r="H103" s="21" t="n"/>
      <c r="I103" s="21" t="n"/>
      <c r="J103" s="19">
        <f>IF($I103="","",IFERROR(INDEX(DANH_MUC!$D$4:$D$1000,MATCH($I103,DANH_MUC!$C$4:$C$1000,0)),""))</f>
        <v/>
      </c>
      <c r="K103" s="21" t="n"/>
      <c r="L103" s="21" t="n"/>
      <c r="M103" s="20" t="n"/>
      <c r="N103" s="23" t="n"/>
      <c r="O103" s="21" t="n"/>
    </row>
    <row r="104">
      <c r="A104" s="19">
        <f>IF($C104="","CHƯA NHẬP",IF($B104="","HỢP LỆ","LỖI"))</f>
        <v/>
      </c>
      <c r="B104" s="19">
        <f>IF($C104="","",TEXTJOIN(" | ",TRUE,IF(COUNTIF('01_HO_SO'!$C$6:$C$505,$C104)=0,"Mã chưa có ở Bước 1",""),IF(COUNTIF($C$6:$C$505,$C104)&gt;1,"Trùng mã trong thông tin công việc",""),IF($D104="","Thiếu trạng thái làm việc",""),IF($E104="","Thiếu ngày vào công ty",IF(OR(NOT(ISNUMBER($E104)),$E104&gt;TODAY()),"Ngày vào công ty không hợp lệ","")),IF($G104="","Thiếu phòng ban",""),IF($I104="","Thiếu chức danh",""),IF(AND($M104&lt;&gt;"",COUNTIF('01_HO_SO'!$C$6:$C$505,$M104)=0),"Mã quản lý không tồn tại",""),IF(AND($M104&lt;&gt;"",$M104=$C104),"Không thể tự quản lý chính mình",""),IF(OR($N104&lt;0,$N104&gt;1000000000),"Lương cơ bản ngoài phạm vi","")))</f>
        <v/>
      </c>
      <c r="C104" s="20" t="n"/>
      <c r="D104" s="21" t="n"/>
      <c r="E104" s="22" t="n"/>
      <c r="F104" s="21" t="n"/>
      <c r="G104" s="21" t="n"/>
      <c r="H104" s="21" t="n"/>
      <c r="I104" s="21" t="n"/>
      <c r="J104" s="19">
        <f>IF($I104="","",IFERROR(INDEX(DANH_MUC!$D$4:$D$1000,MATCH($I104,DANH_MUC!$C$4:$C$1000,0)),""))</f>
        <v/>
      </c>
      <c r="K104" s="21" t="n"/>
      <c r="L104" s="21" t="n"/>
      <c r="M104" s="20" t="n"/>
      <c r="N104" s="23" t="n"/>
      <c r="O104" s="21" t="n"/>
    </row>
    <row r="105">
      <c r="A105" s="19">
        <f>IF($C105="","CHƯA NHẬP",IF($B105="","HỢP LỆ","LỖI"))</f>
        <v/>
      </c>
      <c r="B105" s="19">
        <f>IF($C105="","",TEXTJOIN(" | ",TRUE,IF(COUNTIF('01_HO_SO'!$C$6:$C$505,$C105)=0,"Mã chưa có ở Bước 1",""),IF(COUNTIF($C$6:$C$505,$C105)&gt;1,"Trùng mã trong thông tin công việc",""),IF($D105="","Thiếu trạng thái làm việc",""),IF($E105="","Thiếu ngày vào công ty",IF(OR(NOT(ISNUMBER($E105)),$E105&gt;TODAY()),"Ngày vào công ty không hợp lệ","")),IF($G105="","Thiếu phòng ban",""),IF($I105="","Thiếu chức danh",""),IF(AND($M105&lt;&gt;"",COUNTIF('01_HO_SO'!$C$6:$C$505,$M105)=0),"Mã quản lý không tồn tại",""),IF(AND($M105&lt;&gt;"",$M105=$C105),"Không thể tự quản lý chính mình",""),IF(OR($N105&lt;0,$N105&gt;1000000000),"Lương cơ bản ngoài phạm vi","")))</f>
        <v/>
      </c>
      <c r="C105" s="20" t="n"/>
      <c r="D105" s="21" t="n"/>
      <c r="E105" s="22" t="n"/>
      <c r="F105" s="21" t="n"/>
      <c r="G105" s="21" t="n"/>
      <c r="H105" s="21" t="n"/>
      <c r="I105" s="21" t="n"/>
      <c r="J105" s="19">
        <f>IF($I105="","",IFERROR(INDEX(DANH_MUC!$D$4:$D$1000,MATCH($I105,DANH_MUC!$C$4:$C$1000,0)),""))</f>
        <v/>
      </c>
      <c r="K105" s="21" t="n"/>
      <c r="L105" s="21" t="n"/>
      <c r="M105" s="20" t="n"/>
      <c r="N105" s="23" t="n"/>
      <c r="O105" s="21" t="n"/>
    </row>
    <row r="106">
      <c r="A106" s="19">
        <f>IF($C106="","CHƯA NHẬP",IF($B106="","HỢP LỆ","LỖI"))</f>
        <v/>
      </c>
      <c r="B106" s="19">
        <f>IF($C106="","",TEXTJOIN(" | ",TRUE,IF(COUNTIF('01_HO_SO'!$C$6:$C$505,$C106)=0,"Mã chưa có ở Bước 1",""),IF(COUNTIF($C$6:$C$505,$C106)&gt;1,"Trùng mã trong thông tin công việc",""),IF($D106="","Thiếu trạng thái làm việc",""),IF($E106="","Thiếu ngày vào công ty",IF(OR(NOT(ISNUMBER($E106)),$E106&gt;TODAY()),"Ngày vào công ty không hợp lệ","")),IF($G106="","Thiếu phòng ban",""),IF($I106="","Thiếu chức danh",""),IF(AND($M106&lt;&gt;"",COUNTIF('01_HO_SO'!$C$6:$C$505,$M106)=0),"Mã quản lý không tồn tại",""),IF(AND($M106&lt;&gt;"",$M106=$C106),"Không thể tự quản lý chính mình",""),IF(OR($N106&lt;0,$N106&gt;1000000000),"Lương cơ bản ngoài phạm vi","")))</f>
        <v/>
      </c>
      <c r="C106" s="20" t="n"/>
      <c r="D106" s="21" t="n"/>
      <c r="E106" s="22" t="n"/>
      <c r="F106" s="21" t="n"/>
      <c r="G106" s="21" t="n"/>
      <c r="H106" s="21" t="n"/>
      <c r="I106" s="21" t="n"/>
      <c r="J106" s="19">
        <f>IF($I106="","",IFERROR(INDEX(DANH_MUC!$D$4:$D$1000,MATCH($I106,DANH_MUC!$C$4:$C$1000,0)),""))</f>
        <v/>
      </c>
      <c r="K106" s="21" t="n"/>
      <c r="L106" s="21" t="n"/>
      <c r="M106" s="20" t="n"/>
      <c r="N106" s="23" t="n"/>
      <c r="O106" s="21" t="n"/>
    </row>
    <row r="107">
      <c r="A107" s="19">
        <f>IF($C107="","CHƯA NHẬP",IF($B107="","HỢP LỆ","LỖI"))</f>
        <v/>
      </c>
      <c r="B107" s="19">
        <f>IF($C107="","",TEXTJOIN(" | ",TRUE,IF(COUNTIF('01_HO_SO'!$C$6:$C$505,$C107)=0,"Mã chưa có ở Bước 1",""),IF(COUNTIF($C$6:$C$505,$C107)&gt;1,"Trùng mã trong thông tin công việc",""),IF($D107="","Thiếu trạng thái làm việc",""),IF($E107="","Thiếu ngày vào công ty",IF(OR(NOT(ISNUMBER($E107)),$E107&gt;TODAY()),"Ngày vào công ty không hợp lệ","")),IF($G107="","Thiếu phòng ban",""),IF($I107="","Thiếu chức danh",""),IF(AND($M107&lt;&gt;"",COUNTIF('01_HO_SO'!$C$6:$C$505,$M107)=0),"Mã quản lý không tồn tại",""),IF(AND($M107&lt;&gt;"",$M107=$C107),"Không thể tự quản lý chính mình",""),IF(OR($N107&lt;0,$N107&gt;1000000000),"Lương cơ bản ngoài phạm vi","")))</f>
        <v/>
      </c>
      <c r="C107" s="20" t="n"/>
      <c r="D107" s="21" t="n"/>
      <c r="E107" s="22" t="n"/>
      <c r="F107" s="21" t="n"/>
      <c r="G107" s="21" t="n"/>
      <c r="H107" s="21" t="n"/>
      <c r="I107" s="21" t="n"/>
      <c r="J107" s="19">
        <f>IF($I107="","",IFERROR(INDEX(DANH_MUC!$D$4:$D$1000,MATCH($I107,DANH_MUC!$C$4:$C$1000,0)),""))</f>
        <v/>
      </c>
      <c r="K107" s="21" t="n"/>
      <c r="L107" s="21" t="n"/>
      <c r="M107" s="20" t="n"/>
      <c r="N107" s="23" t="n"/>
      <c r="O107" s="21" t="n"/>
    </row>
    <row r="108">
      <c r="A108" s="19">
        <f>IF($C108="","CHƯA NHẬP",IF($B108="","HỢP LỆ","LỖI"))</f>
        <v/>
      </c>
      <c r="B108" s="19">
        <f>IF($C108="","",TEXTJOIN(" | ",TRUE,IF(COUNTIF('01_HO_SO'!$C$6:$C$505,$C108)=0,"Mã chưa có ở Bước 1",""),IF(COUNTIF($C$6:$C$505,$C108)&gt;1,"Trùng mã trong thông tin công việc",""),IF($D108="","Thiếu trạng thái làm việc",""),IF($E108="","Thiếu ngày vào công ty",IF(OR(NOT(ISNUMBER($E108)),$E108&gt;TODAY()),"Ngày vào công ty không hợp lệ","")),IF($G108="","Thiếu phòng ban",""),IF($I108="","Thiếu chức danh",""),IF(AND($M108&lt;&gt;"",COUNTIF('01_HO_SO'!$C$6:$C$505,$M108)=0),"Mã quản lý không tồn tại",""),IF(AND($M108&lt;&gt;"",$M108=$C108),"Không thể tự quản lý chính mình",""),IF(OR($N108&lt;0,$N108&gt;1000000000),"Lương cơ bản ngoài phạm vi","")))</f>
        <v/>
      </c>
      <c r="C108" s="20" t="n"/>
      <c r="D108" s="21" t="n"/>
      <c r="E108" s="22" t="n"/>
      <c r="F108" s="21" t="n"/>
      <c r="G108" s="21" t="n"/>
      <c r="H108" s="21" t="n"/>
      <c r="I108" s="21" t="n"/>
      <c r="J108" s="19">
        <f>IF($I108="","",IFERROR(INDEX(DANH_MUC!$D$4:$D$1000,MATCH($I108,DANH_MUC!$C$4:$C$1000,0)),""))</f>
        <v/>
      </c>
      <c r="K108" s="21" t="n"/>
      <c r="L108" s="21" t="n"/>
      <c r="M108" s="20" t="n"/>
      <c r="N108" s="23" t="n"/>
      <c r="O108" s="21" t="n"/>
    </row>
    <row r="109">
      <c r="A109" s="19">
        <f>IF($C109="","CHƯA NHẬP",IF($B109="","HỢP LỆ","LỖI"))</f>
        <v/>
      </c>
      <c r="B109" s="19">
        <f>IF($C109="","",TEXTJOIN(" | ",TRUE,IF(COUNTIF('01_HO_SO'!$C$6:$C$505,$C109)=0,"Mã chưa có ở Bước 1",""),IF(COUNTIF($C$6:$C$505,$C109)&gt;1,"Trùng mã trong thông tin công việc",""),IF($D109="","Thiếu trạng thái làm việc",""),IF($E109="","Thiếu ngày vào công ty",IF(OR(NOT(ISNUMBER($E109)),$E109&gt;TODAY()),"Ngày vào công ty không hợp lệ","")),IF($G109="","Thiếu phòng ban",""),IF($I109="","Thiếu chức danh",""),IF(AND($M109&lt;&gt;"",COUNTIF('01_HO_SO'!$C$6:$C$505,$M109)=0),"Mã quản lý không tồn tại",""),IF(AND($M109&lt;&gt;"",$M109=$C109),"Không thể tự quản lý chính mình",""),IF(OR($N109&lt;0,$N109&gt;1000000000),"Lương cơ bản ngoài phạm vi","")))</f>
        <v/>
      </c>
      <c r="C109" s="20" t="n"/>
      <c r="D109" s="21" t="n"/>
      <c r="E109" s="22" t="n"/>
      <c r="F109" s="21" t="n"/>
      <c r="G109" s="21" t="n"/>
      <c r="H109" s="21" t="n"/>
      <c r="I109" s="21" t="n"/>
      <c r="J109" s="19">
        <f>IF($I109="","",IFERROR(INDEX(DANH_MUC!$D$4:$D$1000,MATCH($I109,DANH_MUC!$C$4:$C$1000,0)),""))</f>
        <v/>
      </c>
      <c r="K109" s="21" t="n"/>
      <c r="L109" s="21" t="n"/>
      <c r="M109" s="20" t="n"/>
      <c r="N109" s="23" t="n"/>
      <c r="O109" s="21" t="n"/>
    </row>
    <row r="110">
      <c r="A110" s="19">
        <f>IF($C110="","CHƯA NHẬP",IF($B110="","HỢP LỆ","LỖI"))</f>
        <v/>
      </c>
      <c r="B110" s="19">
        <f>IF($C110="","",TEXTJOIN(" | ",TRUE,IF(COUNTIF('01_HO_SO'!$C$6:$C$505,$C110)=0,"Mã chưa có ở Bước 1",""),IF(COUNTIF($C$6:$C$505,$C110)&gt;1,"Trùng mã trong thông tin công việc",""),IF($D110="","Thiếu trạng thái làm việc",""),IF($E110="","Thiếu ngày vào công ty",IF(OR(NOT(ISNUMBER($E110)),$E110&gt;TODAY()),"Ngày vào công ty không hợp lệ","")),IF($G110="","Thiếu phòng ban",""),IF($I110="","Thiếu chức danh",""),IF(AND($M110&lt;&gt;"",COUNTIF('01_HO_SO'!$C$6:$C$505,$M110)=0),"Mã quản lý không tồn tại",""),IF(AND($M110&lt;&gt;"",$M110=$C110),"Không thể tự quản lý chính mình",""),IF(OR($N110&lt;0,$N110&gt;1000000000),"Lương cơ bản ngoài phạm vi","")))</f>
        <v/>
      </c>
      <c r="C110" s="20" t="n"/>
      <c r="D110" s="21" t="n"/>
      <c r="E110" s="22" t="n"/>
      <c r="F110" s="21" t="n"/>
      <c r="G110" s="21" t="n"/>
      <c r="H110" s="21" t="n"/>
      <c r="I110" s="21" t="n"/>
      <c r="J110" s="19">
        <f>IF($I110="","",IFERROR(INDEX(DANH_MUC!$D$4:$D$1000,MATCH($I110,DANH_MUC!$C$4:$C$1000,0)),""))</f>
        <v/>
      </c>
      <c r="K110" s="21" t="n"/>
      <c r="L110" s="21" t="n"/>
      <c r="M110" s="20" t="n"/>
      <c r="N110" s="23" t="n"/>
      <c r="O110" s="21" t="n"/>
    </row>
    <row r="111">
      <c r="A111" s="19">
        <f>IF($C111="","CHƯA NHẬP",IF($B111="","HỢP LỆ","LỖI"))</f>
        <v/>
      </c>
      <c r="B111" s="19">
        <f>IF($C111="","",TEXTJOIN(" | ",TRUE,IF(COUNTIF('01_HO_SO'!$C$6:$C$505,$C111)=0,"Mã chưa có ở Bước 1",""),IF(COUNTIF($C$6:$C$505,$C111)&gt;1,"Trùng mã trong thông tin công việc",""),IF($D111="","Thiếu trạng thái làm việc",""),IF($E111="","Thiếu ngày vào công ty",IF(OR(NOT(ISNUMBER($E111)),$E111&gt;TODAY()),"Ngày vào công ty không hợp lệ","")),IF($G111="","Thiếu phòng ban",""),IF($I111="","Thiếu chức danh",""),IF(AND($M111&lt;&gt;"",COUNTIF('01_HO_SO'!$C$6:$C$505,$M111)=0),"Mã quản lý không tồn tại",""),IF(AND($M111&lt;&gt;"",$M111=$C111),"Không thể tự quản lý chính mình",""),IF(OR($N111&lt;0,$N111&gt;1000000000),"Lương cơ bản ngoài phạm vi","")))</f>
        <v/>
      </c>
      <c r="C111" s="20" t="n"/>
      <c r="D111" s="21" t="n"/>
      <c r="E111" s="22" t="n"/>
      <c r="F111" s="21" t="n"/>
      <c r="G111" s="21" t="n"/>
      <c r="H111" s="21" t="n"/>
      <c r="I111" s="21" t="n"/>
      <c r="J111" s="19">
        <f>IF($I111="","",IFERROR(INDEX(DANH_MUC!$D$4:$D$1000,MATCH($I111,DANH_MUC!$C$4:$C$1000,0)),""))</f>
        <v/>
      </c>
      <c r="K111" s="21" t="n"/>
      <c r="L111" s="21" t="n"/>
      <c r="M111" s="20" t="n"/>
      <c r="N111" s="23" t="n"/>
      <c r="O111" s="21" t="n"/>
    </row>
    <row r="112">
      <c r="A112" s="19">
        <f>IF($C112="","CHƯA NHẬP",IF($B112="","HỢP LỆ","LỖI"))</f>
        <v/>
      </c>
      <c r="B112" s="19">
        <f>IF($C112="","",TEXTJOIN(" | ",TRUE,IF(COUNTIF('01_HO_SO'!$C$6:$C$505,$C112)=0,"Mã chưa có ở Bước 1",""),IF(COUNTIF($C$6:$C$505,$C112)&gt;1,"Trùng mã trong thông tin công việc",""),IF($D112="","Thiếu trạng thái làm việc",""),IF($E112="","Thiếu ngày vào công ty",IF(OR(NOT(ISNUMBER($E112)),$E112&gt;TODAY()),"Ngày vào công ty không hợp lệ","")),IF($G112="","Thiếu phòng ban",""),IF($I112="","Thiếu chức danh",""),IF(AND($M112&lt;&gt;"",COUNTIF('01_HO_SO'!$C$6:$C$505,$M112)=0),"Mã quản lý không tồn tại",""),IF(AND($M112&lt;&gt;"",$M112=$C112),"Không thể tự quản lý chính mình",""),IF(OR($N112&lt;0,$N112&gt;1000000000),"Lương cơ bản ngoài phạm vi","")))</f>
        <v/>
      </c>
      <c r="C112" s="20" t="n"/>
      <c r="D112" s="21" t="n"/>
      <c r="E112" s="22" t="n"/>
      <c r="F112" s="21" t="n"/>
      <c r="G112" s="21" t="n"/>
      <c r="H112" s="21" t="n"/>
      <c r="I112" s="21" t="n"/>
      <c r="J112" s="19">
        <f>IF($I112="","",IFERROR(INDEX(DANH_MUC!$D$4:$D$1000,MATCH($I112,DANH_MUC!$C$4:$C$1000,0)),""))</f>
        <v/>
      </c>
      <c r="K112" s="21" t="n"/>
      <c r="L112" s="21" t="n"/>
      <c r="M112" s="20" t="n"/>
      <c r="N112" s="23" t="n"/>
      <c r="O112" s="21" t="n"/>
    </row>
    <row r="113">
      <c r="A113" s="19">
        <f>IF($C113="","CHƯA NHẬP",IF($B113="","HỢP LỆ","LỖI"))</f>
        <v/>
      </c>
      <c r="B113" s="19">
        <f>IF($C113="","",TEXTJOIN(" | ",TRUE,IF(COUNTIF('01_HO_SO'!$C$6:$C$505,$C113)=0,"Mã chưa có ở Bước 1",""),IF(COUNTIF($C$6:$C$505,$C113)&gt;1,"Trùng mã trong thông tin công việc",""),IF($D113="","Thiếu trạng thái làm việc",""),IF($E113="","Thiếu ngày vào công ty",IF(OR(NOT(ISNUMBER($E113)),$E113&gt;TODAY()),"Ngày vào công ty không hợp lệ","")),IF($G113="","Thiếu phòng ban",""),IF($I113="","Thiếu chức danh",""),IF(AND($M113&lt;&gt;"",COUNTIF('01_HO_SO'!$C$6:$C$505,$M113)=0),"Mã quản lý không tồn tại",""),IF(AND($M113&lt;&gt;"",$M113=$C113),"Không thể tự quản lý chính mình",""),IF(OR($N113&lt;0,$N113&gt;1000000000),"Lương cơ bản ngoài phạm vi","")))</f>
        <v/>
      </c>
      <c r="C113" s="20" t="n"/>
      <c r="D113" s="21" t="n"/>
      <c r="E113" s="22" t="n"/>
      <c r="F113" s="21" t="n"/>
      <c r="G113" s="21" t="n"/>
      <c r="H113" s="21" t="n"/>
      <c r="I113" s="21" t="n"/>
      <c r="J113" s="19">
        <f>IF($I113="","",IFERROR(INDEX(DANH_MUC!$D$4:$D$1000,MATCH($I113,DANH_MUC!$C$4:$C$1000,0)),""))</f>
        <v/>
      </c>
      <c r="K113" s="21" t="n"/>
      <c r="L113" s="21" t="n"/>
      <c r="M113" s="20" t="n"/>
      <c r="N113" s="23" t="n"/>
      <c r="O113" s="21" t="n"/>
    </row>
    <row r="114">
      <c r="A114" s="19">
        <f>IF($C114="","CHƯA NHẬP",IF($B114="","HỢP LỆ","LỖI"))</f>
        <v/>
      </c>
      <c r="B114" s="19">
        <f>IF($C114="","",TEXTJOIN(" | ",TRUE,IF(COUNTIF('01_HO_SO'!$C$6:$C$505,$C114)=0,"Mã chưa có ở Bước 1",""),IF(COUNTIF($C$6:$C$505,$C114)&gt;1,"Trùng mã trong thông tin công việc",""),IF($D114="","Thiếu trạng thái làm việc",""),IF($E114="","Thiếu ngày vào công ty",IF(OR(NOT(ISNUMBER($E114)),$E114&gt;TODAY()),"Ngày vào công ty không hợp lệ","")),IF($G114="","Thiếu phòng ban",""),IF($I114="","Thiếu chức danh",""),IF(AND($M114&lt;&gt;"",COUNTIF('01_HO_SO'!$C$6:$C$505,$M114)=0),"Mã quản lý không tồn tại",""),IF(AND($M114&lt;&gt;"",$M114=$C114),"Không thể tự quản lý chính mình",""),IF(OR($N114&lt;0,$N114&gt;1000000000),"Lương cơ bản ngoài phạm vi","")))</f>
        <v/>
      </c>
      <c r="C114" s="20" t="n"/>
      <c r="D114" s="21" t="n"/>
      <c r="E114" s="22" t="n"/>
      <c r="F114" s="21" t="n"/>
      <c r="G114" s="21" t="n"/>
      <c r="H114" s="21" t="n"/>
      <c r="I114" s="21" t="n"/>
      <c r="J114" s="19">
        <f>IF($I114="","",IFERROR(INDEX(DANH_MUC!$D$4:$D$1000,MATCH($I114,DANH_MUC!$C$4:$C$1000,0)),""))</f>
        <v/>
      </c>
      <c r="K114" s="21" t="n"/>
      <c r="L114" s="21" t="n"/>
      <c r="M114" s="20" t="n"/>
      <c r="N114" s="23" t="n"/>
      <c r="O114" s="21" t="n"/>
    </row>
    <row r="115">
      <c r="A115" s="19">
        <f>IF($C115="","CHƯA NHẬP",IF($B115="","HỢP LỆ","LỖI"))</f>
        <v/>
      </c>
      <c r="B115" s="19">
        <f>IF($C115="","",TEXTJOIN(" | ",TRUE,IF(COUNTIF('01_HO_SO'!$C$6:$C$505,$C115)=0,"Mã chưa có ở Bước 1",""),IF(COUNTIF($C$6:$C$505,$C115)&gt;1,"Trùng mã trong thông tin công việc",""),IF($D115="","Thiếu trạng thái làm việc",""),IF($E115="","Thiếu ngày vào công ty",IF(OR(NOT(ISNUMBER($E115)),$E115&gt;TODAY()),"Ngày vào công ty không hợp lệ","")),IF($G115="","Thiếu phòng ban",""),IF($I115="","Thiếu chức danh",""),IF(AND($M115&lt;&gt;"",COUNTIF('01_HO_SO'!$C$6:$C$505,$M115)=0),"Mã quản lý không tồn tại",""),IF(AND($M115&lt;&gt;"",$M115=$C115),"Không thể tự quản lý chính mình",""),IF(OR($N115&lt;0,$N115&gt;1000000000),"Lương cơ bản ngoài phạm vi","")))</f>
        <v/>
      </c>
      <c r="C115" s="20" t="n"/>
      <c r="D115" s="21" t="n"/>
      <c r="E115" s="22" t="n"/>
      <c r="F115" s="21" t="n"/>
      <c r="G115" s="21" t="n"/>
      <c r="H115" s="21" t="n"/>
      <c r="I115" s="21" t="n"/>
      <c r="J115" s="19">
        <f>IF($I115="","",IFERROR(INDEX(DANH_MUC!$D$4:$D$1000,MATCH($I115,DANH_MUC!$C$4:$C$1000,0)),""))</f>
        <v/>
      </c>
      <c r="K115" s="21" t="n"/>
      <c r="L115" s="21" t="n"/>
      <c r="M115" s="20" t="n"/>
      <c r="N115" s="23" t="n"/>
      <c r="O115" s="21" t="n"/>
    </row>
    <row r="116">
      <c r="A116" s="19">
        <f>IF($C116="","CHƯA NHẬP",IF($B116="","HỢP LỆ","LỖI"))</f>
        <v/>
      </c>
      <c r="B116" s="19">
        <f>IF($C116="","",TEXTJOIN(" | ",TRUE,IF(COUNTIF('01_HO_SO'!$C$6:$C$505,$C116)=0,"Mã chưa có ở Bước 1",""),IF(COUNTIF($C$6:$C$505,$C116)&gt;1,"Trùng mã trong thông tin công việc",""),IF($D116="","Thiếu trạng thái làm việc",""),IF($E116="","Thiếu ngày vào công ty",IF(OR(NOT(ISNUMBER($E116)),$E116&gt;TODAY()),"Ngày vào công ty không hợp lệ","")),IF($G116="","Thiếu phòng ban",""),IF($I116="","Thiếu chức danh",""),IF(AND($M116&lt;&gt;"",COUNTIF('01_HO_SO'!$C$6:$C$505,$M116)=0),"Mã quản lý không tồn tại",""),IF(AND($M116&lt;&gt;"",$M116=$C116),"Không thể tự quản lý chính mình",""),IF(OR($N116&lt;0,$N116&gt;1000000000),"Lương cơ bản ngoài phạm vi","")))</f>
        <v/>
      </c>
      <c r="C116" s="20" t="n"/>
      <c r="D116" s="21" t="n"/>
      <c r="E116" s="22" t="n"/>
      <c r="F116" s="21" t="n"/>
      <c r="G116" s="21" t="n"/>
      <c r="H116" s="21" t="n"/>
      <c r="I116" s="21" t="n"/>
      <c r="J116" s="19">
        <f>IF($I116="","",IFERROR(INDEX(DANH_MUC!$D$4:$D$1000,MATCH($I116,DANH_MUC!$C$4:$C$1000,0)),""))</f>
        <v/>
      </c>
      <c r="K116" s="21" t="n"/>
      <c r="L116" s="21" t="n"/>
      <c r="M116" s="20" t="n"/>
      <c r="N116" s="23" t="n"/>
      <c r="O116" s="21" t="n"/>
    </row>
    <row r="117">
      <c r="A117" s="19">
        <f>IF($C117="","CHƯA NHẬP",IF($B117="","HỢP LỆ","LỖI"))</f>
        <v/>
      </c>
      <c r="B117" s="19">
        <f>IF($C117="","",TEXTJOIN(" | ",TRUE,IF(COUNTIF('01_HO_SO'!$C$6:$C$505,$C117)=0,"Mã chưa có ở Bước 1",""),IF(COUNTIF($C$6:$C$505,$C117)&gt;1,"Trùng mã trong thông tin công việc",""),IF($D117="","Thiếu trạng thái làm việc",""),IF($E117="","Thiếu ngày vào công ty",IF(OR(NOT(ISNUMBER($E117)),$E117&gt;TODAY()),"Ngày vào công ty không hợp lệ","")),IF($G117="","Thiếu phòng ban",""),IF($I117="","Thiếu chức danh",""),IF(AND($M117&lt;&gt;"",COUNTIF('01_HO_SO'!$C$6:$C$505,$M117)=0),"Mã quản lý không tồn tại",""),IF(AND($M117&lt;&gt;"",$M117=$C117),"Không thể tự quản lý chính mình",""),IF(OR($N117&lt;0,$N117&gt;1000000000),"Lương cơ bản ngoài phạm vi","")))</f>
        <v/>
      </c>
      <c r="C117" s="20" t="n"/>
      <c r="D117" s="21" t="n"/>
      <c r="E117" s="22" t="n"/>
      <c r="F117" s="21" t="n"/>
      <c r="G117" s="21" t="n"/>
      <c r="H117" s="21" t="n"/>
      <c r="I117" s="21" t="n"/>
      <c r="J117" s="19">
        <f>IF($I117="","",IFERROR(INDEX(DANH_MUC!$D$4:$D$1000,MATCH($I117,DANH_MUC!$C$4:$C$1000,0)),""))</f>
        <v/>
      </c>
      <c r="K117" s="21" t="n"/>
      <c r="L117" s="21" t="n"/>
      <c r="M117" s="20" t="n"/>
      <c r="N117" s="23" t="n"/>
      <c r="O117" s="21" t="n"/>
    </row>
    <row r="118">
      <c r="A118" s="19">
        <f>IF($C118="","CHƯA NHẬP",IF($B118="","HỢP LỆ","LỖI"))</f>
        <v/>
      </c>
      <c r="B118" s="19">
        <f>IF($C118="","",TEXTJOIN(" | ",TRUE,IF(COUNTIF('01_HO_SO'!$C$6:$C$505,$C118)=0,"Mã chưa có ở Bước 1",""),IF(COUNTIF($C$6:$C$505,$C118)&gt;1,"Trùng mã trong thông tin công việc",""),IF($D118="","Thiếu trạng thái làm việc",""),IF($E118="","Thiếu ngày vào công ty",IF(OR(NOT(ISNUMBER($E118)),$E118&gt;TODAY()),"Ngày vào công ty không hợp lệ","")),IF($G118="","Thiếu phòng ban",""),IF($I118="","Thiếu chức danh",""),IF(AND($M118&lt;&gt;"",COUNTIF('01_HO_SO'!$C$6:$C$505,$M118)=0),"Mã quản lý không tồn tại",""),IF(AND($M118&lt;&gt;"",$M118=$C118),"Không thể tự quản lý chính mình",""),IF(OR($N118&lt;0,$N118&gt;1000000000),"Lương cơ bản ngoài phạm vi","")))</f>
        <v/>
      </c>
      <c r="C118" s="20" t="n"/>
      <c r="D118" s="21" t="n"/>
      <c r="E118" s="22" t="n"/>
      <c r="F118" s="21" t="n"/>
      <c r="G118" s="21" t="n"/>
      <c r="H118" s="21" t="n"/>
      <c r="I118" s="21" t="n"/>
      <c r="J118" s="19">
        <f>IF($I118="","",IFERROR(INDEX(DANH_MUC!$D$4:$D$1000,MATCH($I118,DANH_MUC!$C$4:$C$1000,0)),""))</f>
        <v/>
      </c>
      <c r="K118" s="21" t="n"/>
      <c r="L118" s="21" t="n"/>
      <c r="M118" s="20" t="n"/>
      <c r="N118" s="23" t="n"/>
      <c r="O118" s="21" t="n"/>
    </row>
    <row r="119">
      <c r="A119" s="19">
        <f>IF($C119="","CHƯA NHẬP",IF($B119="","HỢP LỆ","LỖI"))</f>
        <v/>
      </c>
      <c r="B119" s="19">
        <f>IF($C119="","",TEXTJOIN(" | ",TRUE,IF(COUNTIF('01_HO_SO'!$C$6:$C$505,$C119)=0,"Mã chưa có ở Bước 1",""),IF(COUNTIF($C$6:$C$505,$C119)&gt;1,"Trùng mã trong thông tin công việc",""),IF($D119="","Thiếu trạng thái làm việc",""),IF($E119="","Thiếu ngày vào công ty",IF(OR(NOT(ISNUMBER($E119)),$E119&gt;TODAY()),"Ngày vào công ty không hợp lệ","")),IF($G119="","Thiếu phòng ban",""),IF($I119="","Thiếu chức danh",""),IF(AND($M119&lt;&gt;"",COUNTIF('01_HO_SO'!$C$6:$C$505,$M119)=0),"Mã quản lý không tồn tại",""),IF(AND($M119&lt;&gt;"",$M119=$C119),"Không thể tự quản lý chính mình",""),IF(OR($N119&lt;0,$N119&gt;1000000000),"Lương cơ bản ngoài phạm vi","")))</f>
        <v/>
      </c>
      <c r="C119" s="20" t="n"/>
      <c r="D119" s="21" t="n"/>
      <c r="E119" s="22" t="n"/>
      <c r="F119" s="21" t="n"/>
      <c r="G119" s="21" t="n"/>
      <c r="H119" s="21" t="n"/>
      <c r="I119" s="21" t="n"/>
      <c r="J119" s="19">
        <f>IF($I119="","",IFERROR(INDEX(DANH_MUC!$D$4:$D$1000,MATCH($I119,DANH_MUC!$C$4:$C$1000,0)),""))</f>
        <v/>
      </c>
      <c r="K119" s="21" t="n"/>
      <c r="L119" s="21" t="n"/>
      <c r="M119" s="20" t="n"/>
      <c r="N119" s="23" t="n"/>
      <c r="O119" s="21" t="n"/>
    </row>
    <row r="120">
      <c r="A120" s="19">
        <f>IF($C120="","CHƯA NHẬP",IF($B120="","HỢP LỆ","LỖI"))</f>
        <v/>
      </c>
      <c r="B120" s="19">
        <f>IF($C120="","",TEXTJOIN(" | ",TRUE,IF(COUNTIF('01_HO_SO'!$C$6:$C$505,$C120)=0,"Mã chưa có ở Bước 1",""),IF(COUNTIF($C$6:$C$505,$C120)&gt;1,"Trùng mã trong thông tin công việc",""),IF($D120="","Thiếu trạng thái làm việc",""),IF($E120="","Thiếu ngày vào công ty",IF(OR(NOT(ISNUMBER($E120)),$E120&gt;TODAY()),"Ngày vào công ty không hợp lệ","")),IF($G120="","Thiếu phòng ban",""),IF($I120="","Thiếu chức danh",""),IF(AND($M120&lt;&gt;"",COUNTIF('01_HO_SO'!$C$6:$C$505,$M120)=0),"Mã quản lý không tồn tại",""),IF(AND($M120&lt;&gt;"",$M120=$C120),"Không thể tự quản lý chính mình",""),IF(OR($N120&lt;0,$N120&gt;1000000000),"Lương cơ bản ngoài phạm vi","")))</f>
        <v/>
      </c>
      <c r="C120" s="20" t="n"/>
      <c r="D120" s="21" t="n"/>
      <c r="E120" s="22" t="n"/>
      <c r="F120" s="21" t="n"/>
      <c r="G120" s="21" t="n"/>
      <c r="H120" s="21" t="n"/>
      <c r="I120" s="21" t="n"/>
      <c r="J120" s="19">
        <f>IF($I120="","",IFERROR(INDEX(DANH_MUC!$D$4:$D$1000,MATCH($I120,DANH_MUC!$C$4:$C$1000,0)),""))</f>
        <v/>
      </c>
      <c r="K120" s="21" t="n"/>
      <c r="L120" s="21" t="n"/>
      <c r="M120" s="20" t="n"/>
      <c r="N120" s="23" t="n"/>
      <c r="O120" s="21" t="n"/>
    </row>
    <row r="121">
      <c r="A121" s="19">
        <f>IF($C121="","CHƯA NHẬP",IF($B121="","HỢP LỆ","LỖI"))</f>
        <v/>
      </c>
      <c r="B121" s="19">
        <f>IF($C121="","",TEXTJOIN(" | ",TRUE,IF(COUNTIF('01_HO_SO'!$C$6:$C$505,$C121)=0,"Mã chưa có ở Bước 1",""),IF(COUNTIF($C$6:$C$505,$C121)&gt;1,"Trùng mã trong thông tin công việc",""),IF($D121="","Thiếu trạng thái làm việc",""),IF($E121="","Thiếu ngày vào công ty",IF(OR(NOT(ISNUMBER($E121)),$E121&gt;TODAY()),"Ngày vào công ty không hợp lệ","")),IF($G121="","Thiếu phòng ban",""),IF($I121="","Thiếu chức danh",""),IF(AND($M121&lt;&gt;"",COUNTIF('01_HO_SO'!$C$6:$C$505,$M121)=0),"Mã quản lý không tồn tại",""),IF(AND($M121&lt;&gt;"",$M121=$C121),"Không thể tự quản lý chính mình",""),IF(OR($N121&lt;0,$N121&gt;1000000000),"Lương cơ bản ngoài phạm vi","")))</f>
        <v/>
      </c>
      <c r="C121" s="20" t="n"/>
      <c r="D121" s="21" t="n"/>
      <c r="E121" s="22" t="n"/>
      <c r="F121" s="21" t="n"/>
      <c r="G121" s="21" t="n"/>
      <c r="H121" s="21" t="n"/>
      <c r="I121" s="21" t="n"/>
      <c r="J121" s="19">
        <f>IF($I121="","",IFERROR(INDEX(DANH_MUC!$D$4:$D$1000,MATCH($I121,DANH_MUC!$C$4:$C$1000,0)),""))</f>
        <v/>
      </c>
      <c r="K121" s="21" t="n"/>
      <c r="L121" s="21" t="n"/>
      <c r="M121" s="20" t="n"/>
      <c r="N121" s="23" t="n"/>
      <c r="O121" s="21" t="n"/>
    </row>
    <row r="122">
      <c r="A122" s="19">
        <f>IF($C122="","CHƯA NHẬP",IF($B122="","HỢP LỆ","LỖI"))</f>
        <v/>
      </c>
      <c r="B122" s="19">
        <f>IF($C122="","",TEXTJOIN(" | ",TRUE,IF(COUNTIF('01_HO_SO'!$C$6:$C$505,$C122)=0,"Mã chưa có ở Bước 1",""),IF(COUNTIF($C$6:$C$505,$C122)&gt;1,"Trùng mã trong thông tin công việc",""),IF($D122="","Thiếu trạng thái làm việc",""),IF($E122="","Thiếu ngày vào công ty",IF(OR(NOT(ISNUMBER($E122)),$E122&gt;TODAY()),"Ngày vào công ty không hợp lệ","")),IF($G122="","Thiếu phòng ban",""),IF($I122="","Thiếu chức danh",""),IF(AND($M122&lt;&gt;"",COUNTIF('01_HO_SO'!$C$6:$C$505,$M122)=0),"Mã quản lý không tồn tại",""),IF(AND($M122&lt;&gt;"",$M122=$C122),"Không thể tự quản lý chính mình",""),IF(OR($N122&lt;0,$N122&gt;1000000000),"Lương cơ bản ngoài phạm vi","")))</f>
        <v/>
      </c>
      <c r="C122" s="20" t="n"/>
      <c r="D122" s="21" t="n"/>
      <c r="E122" s="22" t="n"/>
      <c r="F122" s="21" t="n"/>
      <c r="G122" s="21" t="n"/>
      <c r="H122" s="21" t="n"/>
      <c r="I122" s="21" t="n"/>
      <c r="J122" s="19">
        <f>IF($I122="","",IFERROR(INDEX(DANH_MUC!$D$4:$D$1000,MATCH($I122,DANH_MUC!$C$4:$C$1000,0)),""))</f>
        <v/>
      </c>
      <c r="K122" s="21" t="n"/>
      <c r="L122" s="21" t="n"/>
      <c r="M122" s="20" t="n"/>
      <c r="N122" s="23" t="n"/>
      <c r="O122" s="21" t="n"/>
    </row>
    <row r="123">
      <c r="A123" s="19">
        <f>IF($C123="","CHƯA NHẬP",IF($B123="","HỢP LỆ","LỖI"))</f>
        <v/>
      </c>
      <c r="B123" s="19">
        <f>IF($C123="","",TEXTJOIN(" | ",TRUE,IF(COUNTIF('01_HO_SO'!$C$6:$C$505,$C123)=0,"Mã chưa có ở Bước 1",""),IF(COUNTIF($C$6:$C$505,$C123)&gt;1,"Trùng mã trong thông tin công việc",""),IF($D123="","Thiếu trạng thái làm việc",""),IF($E123="","Thiếu ngày vào công ty",IF(OR(NOT(ISNUMBER($E123)),$E123&gt;TODAY()),"Ngày vào công ty không hợp lệ","")),IF($G123="","Thiếu phòng ban",""),IF($I123="","Thiếu chức danh",""),IF(AND($M123&lt;&gt;"",COUNTIF('01_HO_SO'!$C$6:$C$505,$M123)=0),"Mã quản lý không tồn tại",""),IF(AND($M123&lt;&gt;"",$M123=$C123),"Không thể tự quản lý chính mình",""),IF(OR($N123&lt;0,$N123&gt;1000000000),"Lương cơ bản ngoài phạm vi","")))</f>
        <v/>
      </c>
      <c r="C123" s="20" t="n"/>
      <c r="D123" s="21" t="n"/>
      <c r="E123" s="22" t="n"/>
      <c r="F123" s="21" t="n"/>
      <c r="G123" s="21" t="n"/>
      <c r="H123" s="21" t="n"/>
      <c r="I123" s="21" t="n"/>
      <c r="J123" s="19">
        <f>IF($I123="","",IFERROR(INDEX(DANH_MUC!$D$4:$D$1000,MATCH($I123,DANH_MUC!$C$4:$C$1000,0)),""))</f>
        <v/>
      </c>
      <c r="K123" s="21" t="n"/>
      <c r="L123" s="21" t="n"/>
      <c r="M123" s="20" t="n"/>
      <c r="N123" s="23" t="n"/>
      <c r="O123" s="21" t="n"/>
    </row>
    <row r="124">
      <c r="A124" s="19">
        <f>IF($C124="","CHƯA NHẬP",IF($B124="","HỢP LỆ","LỖI"))</f>
        <v/>
      </c>
      <c r="B124" s="19">
        <f>IF($C124="","",TEXTJOIN(" | ",TRUE,IF(COUNTIF('01_HO_SO'!$C$6:$C$505,$C124)=0,"Mã chưa có ở Bước 1",""),IF(COUNTIF($C$6:$C$505,$C124)&gt;1,"Trùng mã trong thông tin công việc",""),IF($D124="","Thiếu trạng thái làm việc",""),IF($E124="","Thiếu ngày vào công ty",IF(OR(NOT(ISNUMBER($E124)),$E124&gt;TODAY()),"Ngày vào công ty không hợp lệ","")),IF($G124="","Thiếu phòng ban",""),IF($I124="","Thiếu chức danh",""),IF(AND($M124&lt;&gt;"",COUNTIF('01_HO_SO'!$C$6:$C$505,$M124)=0),"Mã quản lý không tồn tại",""),IF(AND($M124&lt;&gt;"",$M124=$C124),"Không thể tự quản lý chính mình",""),IF(OR($N124&lt;0,$N124&gt;1000000000),"Lương cơ bản ngoài phạm vi","")))</f>
        <v/>
      </c>
      <c r="C124" s="20" t="n"/>
      <c r="D124" s="21" t="n"/>
      <c r="E124" s="22" t="n"/>
      <c r="F124" s="21" t="n"/>
      <c r="G124" s="21" t="n"/>
      <c r="H124" s="21" t="n"/>
      <c r="I124" s="21" t="n"/>
      <c r="J124" s="19">
        <f>IF($I124="","",IFERROR(INDEX(DANH_MUC!$D$4:$D$1000,MATCH($I124,DANH_MUC!$C$4:$C$1000,0)),""))</f>
        <v/>
      </c>
      <c r="K124" s="21" t="n"/>
      <c r="L124" s="21" t="n"/>
      <c r="M124" s="20" t="n"/>
      <c r="N124" s="23" t="n"/>
      <c r="O124" s="21" t="n"/>
    </row>
    <row r="125">
      <c r="A125" s="19">
        <f>IF($C125="","CHƯA NHẬP",IF($B125="","HỢP LỆ","LỖI"))</f>
        <v/>
      </c>
      <c r="B125" s="19">
        <f>IF($C125="","",TEXTJOIN(" | ",TRUE,IF(COUNTIF('01_HO_SO'!$C$6:$C$505,$C125)=0,"Mã chưa có ở Bước 1",""),IF(COUNTIF($C$6:$C$505,$C125)&gt;1,"Trùng mã trong thông tin công việc",""),IF($D125="","Thiếu trạng thái làm việc",""),IF($E125="","Thiếu ngày vào công ty",IF(OR(NOT(ISNUMBER($E125)),$E125&gt;TODAY()),"Ngày vào công ty không hợp lệ","")),IF($G125="","Thiếu phòng ban",""),IF($I125="","Thiếu chức danh",""),IF(AND($M125&lt;&gt;"",COUNTIF('01_HO_SO'!$C$6:$C$505,$M125)=0),"Mã quản lý không tồn tại",""),IF(AND($M125&lt;&gt;"",$M125=$C125),"Không thể tự quản lý chính mình",""),IF(OR($N125&lt;0,$N125&gt;1000000000),"Lương cơ bản ngoài phạm vi","")))</f>
        <v/>
      </c>
      <c r="C125" s="20" t="n"/>
      <c r="D125" s="21" t="n"/>
      <c r="E125" s="22" t="n"/>
      <c r="F125" s="21" t="n"/>
      <c r="G125" s="21" t="n"/>
      <c r="H125" s="21" t="n"/>
      <c r="I125" s="21" t="n"/>
      <c r="J125" s="19">
        <f>IF($I125="","",IFERROR(INDEX(DANH_MUC!$D$4:$D$1000,MATCH($I125,DANH_MUC!$C$4:$C$1000,0)),""))</f>
        <v/>
      </c>
      <c r="K125" s="21" t="n"/>
      <c r="L125" s="21" t="n"/>
      <c r="M125" s="20" t="n"/>
      <c r="N125" s="23" t="n"/>
      <c r="O125" s="21" t="n"/>
    </row>
    <row r="126">
      <c r="A126" s="19">
        <f>IF($C126="","CHƯA NHẬP",IF($B126="","HỢP LỆ","LỖI"))</f>
        <v/>
      </c>
      <c r="B126" s="19">
        <f>IF($C126="","",TEXTJOIN(" | ",TRUE,IF(COUNTIF('01_HO_SO'!$C$6:$C$505,$C126)=0,"Mã chưa có ở Bước 1",""),IF(COUNTIF($C$6:$C$505,$C126)&gt;1,"Trùng mã trong thông tin công việc",""),IF($D126="","Thiếu trạng thái làm việc",""),IF($E126="","Thiếu ngày vào công ty",IF(OR(NOT(ISNUMBER($E126)),$E126&gt;TODAY()),"Ngày vào công ty không hợp lệ","")),IF($G126="","Thiếu phòng ban",""),IF($I126="","Thiếu chức danh",""),IF(AND($M126&lt;&gt;"",COUNTIF('01_HO_SO'!$C$6:$C$505,$M126)=0),"Mã quản lý không tồn tại",""),IF(AND($M126&lt;&gt;"",$M126=$C126),"Không thể tự quản lý chính mình",""),IF(OR($N126&lt;0,$N126&gt;1000000000),"Lương cơ bản ngoài phạm vi","")))</f>
        <v/>
      </c>
      <c r="C126" s="20" t="n"/>
      <c r="D126" s="21" t="n"/>
      <c r="E126" s="22" t="n"/>
      <c r="F126" s="21" t="n"/>
      <c r="G126" s="21" t="n"/>
      <c r="H126" s="21" t="n"/>
      <c r="I126" s="21" t="n"/>
      <c r="J126" s="19">
        <f>IF($I126="","",IFERROR(INDEX(DANH_MUC!$D$4:$D$1000,MATCH($I126,DANH_MUC!$C$4:$C$1000,0)),""))</f>
        <v/>
      </c>
      <c r="K126" s="21" t="n"/>
      <c r="L126" s="21" t="n"/>
      <c r="M126" s="20" t="n"/>
      <c r="N126" s="23" t="n"/>
      <c r="O126" s="21" t="n"/>
    </row>
    <row r="127">
      <c r="A127" s="19">
        <f>IF($C127="","CHƯA NHẬP",IF($B127="","HỢP LỆ","LỖI"))</f>
        <v/>
      </c>
      <c r="B127" s="19">
        <f>IF($C127="","",TEXTJOIN(" | ",TRUE,IF(COUNTIF('01_HO_SO'!$C$6:$C$505,$C127)=0,"Mã chưa có ở Bước 1",""),IF(COUNTIF($C$6:$C$505,$C127)&gt;1,"Trùng mã trong thông tin công việc",""),IF($D127="","Thiếu trạng thái làm việc",""),IF($E127="","Thiếu ngày vào công ty",IF(OR(NOT(ISNUMBER($E127)),$E127&gt;TODAY()),"Ngày vào công ty không hợp lệ","")),IF($G127="","Thiếu phòng ban",""),IF($I127="","Thiếu chức danh",""),IF(AND($M127&lt;&gt;"",COUNTIF('01_HO_SO'!$C$6:$C$505,$M127)=0),"Mã quản lý không tồn tại",""),IF(AND($M127&lt;&gt;"",$M127=$C127),"Không thể tự quản lý chính mình",""),IF(OR($N127&lt;0,$N127&gt;1000000000),"Lương cơ bản ngoài phạm vi","")))</f>
        <v/>
      </c>
      <c r="C127" s="20" t="n"/>
      <c r="D127" s="21" t="n"/>
      <c r="E127" s="22" t="n"/>
      <c r="F127" s="21" t="n"/>
      <c r="G127" s="21" t="n"/>
      <c r="H127" s="21" t="n"/>
      <c r="I127" s="21" t="n"/>
      <c r="J127" s="19">
        <f>IF($I127="","",IFERROR(INDEX(DANH_MUC!$D$4:$D$1000,MATCH($I127,DANH_MUC!$C$4:$C$1000,0)),""))</f>
        <v/>
      </c>
      <c r="K127" s="21" t="n"/>
      <c r="L127" s="21" t="n"/>
      <c r="M127" s="20" t="n"/>
      <c r="N127" s="23" t="n"/>
      <c r="O127" s="21" t="n"/>
    </row>
    <row r="128">
      <c r="A128" s="19">
        <f>IF($C128="","CHƯA NHẬP",IF($B128="","HỢP LỆ","LỖI"))</f>
        <v/>
      </c>
      <c r="B128" s="19">
        <f>IF($C128="","",TEXTJOIN(" | ",TRUE,IF(COUNTIF('01_HO_SO'!$C$6:$C$505,$C128)=0,"Mã chưa có ở Bước 1",""),IF(COUNTIF($C$6:$C$505,$C128)&gt;1,"Trùng mã trong thông tin công việc",""),IF($D128="","Thiếu trạng thái làm việc",""),IF($E128="","Thiếu ngày vào công ty",IF(OR(NOT(ISNUMBER($E128)),$E128&gt;TODAY()),"Ngày vào công ty không hợp lệ","")),IF($G128="","Thiếu phòng ban",""),IF($I128="","Thiếu chức danh",""),IF(AND($M128&lt;&gt;"",COUNTIF('01_HO_SO'!$C$6:$C$505,$M128)=0),"Mã quản lý không tồn tại",""),IF(AND($M128&lt;&gt;"",$M128=$C128),"Không thể tự quản lý chính mình",""),IF(OR($N128&lt;0,$N128&gt;1000000000),"Lương cơ bản ngoài phạm vi","")))</f>
        <v/>
      </c>
      <c r="C128" s="20" t="n"/>
      <c r="D128" s="21" t="n"/>
      <c r="E128" s="22" t="n"/>
      <c r="F128" s="21" t="n"/>
      <c r="G128" s="21" t="n"/>
      <c r="H128" s="21" t="n"/>
      <c r="I128" s="21" t="n"/>
      <c r="J128" s="19">
        <f>IF($I128="","",IFERROR(INDEX(DANH_MUC!$D$4:$D$1000,MATCH($I128,DANH_MUC!$C$4:$C$1000,0)),""))</f>
        <v/>
      </c>
      <c r="K128" s="21" t="n"/>
      <c r="L128" s="21" t="n"/>
      <c r="M128" s="20" t="n"/>
      <c r="N128" s="23" t="n"/>
      <c r="O128" s="21" t="n"/>
    </row>
    <row r="129">
      <c r="A129" s="19">
        <f>IF($C129="","CHƯA NHẬP",IF($B129="","HỢP LỆ","LỖI"))</f>
        <v/>
      </c>
      <c r="B129" s="19">
        <f>IF($C129="","",TEXTJOIN(" | ",TRUE,IF(COUNTIF('01_HO_SO'!$C$6:$C$505,$C129)=0,"Mã chưa có ở Bước 1",""),IF(COUNTIF($C$6:$C$505,$C129)&gt;1,"Trùng mã trong thông tin công việc",""),IF($D129="","Thiếu trạng thái làm việc",""),IF($E129="","Thiếu ngày vào công ty",IF(OR(NOT(ISNUMBER($E129)),$E129&gt;TODAY()),"Ngày vào công ty không hợp lệ","")),IF($G129="","Thiếu phòng ban",""),IF($I129="","Thiếu chức danh",""),IF(AND($M129&lt;&gt;"",COUNTIF('01_HO_SO'!$C$6:$C$505,$M129)=0),"Mã quản lý không tồn tại",""),IF(AND($M129&lt;&gt;"",$M129=$C129),"Không thể tự quản lý chính mình",""),IF(OR($N129&lt;0,$N129&gt;1000000000),"Lương cơ bản ngoài phạm vi","")))</f>
        <v/>
      </c>
      <c r="C129" s="20" t="n"/>
      <c r="D129" s="21" t="n"/>
      <c r="E129" s="22" t="n"/>
      <c r="F129" s="21" t="n"/>
      <c r="G129" s="21" t="n"/>
      <c r="H129" s="21" t="n"/>
      <c r="I129" s="21" t="n"/>
      <c r="J129" s="19">
        <f>IF($I129="","",IFERROR(INDEX(DANH_MUC!$D$4:$D$1000,MATCH($I129,DANH_MUC!$C$4:$C$1000,0)),""))</f>
        <v/>
      </c>
      <c r="K129" s="21" t="n"/>
      <c r="L129" s="21" t="n"/>
      <c r="M129" s="20" t="n"/>
      <c r="N129" s="23" t="n"/>
      <c r="O129" s="21" t="n"/>
    </row>
    <row r="130">
      <c r="A130" s="19">
        <f>IF($C130="","CHƯA NHẬP",IF($B130="","HỢP LỆ","LỖI"))</f>
        <v/>
      </c>
      <c r="B130" s="19">
        <f>IF($C130="","",TEXTJOIN(" | ",TRUE,IF(COUNTIF('01_HO_SO'!$C$6:$C$505,$C130)=0,"Mã chưa có ở Bước 1",""),IF(COUNTIF($C$6:$C$505,$C130)&gt;1,"Trùng mã trong thông tin công việc",""),IF($D130="","Thiếu trạng thái làm việc",""),IF($E130="","Thiếu ngày vào công ty",IF(OR(NOT(ISNUMBER($E130)),$E130&gt;TODAY()),"Ngày vào công ty không hợp lệ","")),IF($G130="","Thiếu phòng ban",""),IF($I130="","Thiếu chức danh",""),IF(AND($M130&lt;&gt;"",COUNTIF('01_HO_SO'!$C$6:$C$505,$M130)=0),"Mã quản lý không tồn tại",""),IF(AND($M130&lt;&gt;"",$M130=$C130),"Không thể tự quản lý chính mình",""),IF(OR($N130&lt;0,$N130&gt;1000000000),"Lương cơ bản ngoài phạm vi","")))</f>
        <v/>
      </c>
      <c r="C130" s="20" t="n"/>
      <c r="D130" s="21" t="n"/>
      <c r="E130" s="22" t="n"/>
      <c r="F130" s="21" t="n"/>
      <c r="G130" s="21" t="n"/>
      <c r="H130" s="21" t="n"/>
      <c r="I130" s="21" t="n"/>
      <c r="J130" s="19">
        <f>IF($I130="","",IFERROR(INDEX(DANH_MUC!$D$4:$D$1000,MATCH($I130,DANH_MUC!$C$4:$C$1000,0)),""))</f>
        <v/>
      </c>
      <c r="K130" s="21" t="n"/>
      <c r="L130" s="21" t="n"/>
      <c r="M130" s="20" t="n"/>
      <c r="N130" s="23" t="n"/>
      <c r="O130" s="21" t="n"/>
    </row>
    <row r="131">
      <c r="A131" s="19">
        <f>IF($C131="","CHƯA NHẬP",IF($B131="","HỢP LỆ","LỖI"))</f>
        <v/>
      </c>
      <c r="B131" s="19">
        <f>IF($C131="","",TEXTJOIN(" | ",TRUE,IF(COUNTIF('01_HO_SO'!$C$6:$C$505,$C131)=0,"Mã chưa có ở Bước 1",""),IF(COUNTIF($C$6:$C$505,$C131)&gt;1,"Trùng mã trong thông tin công việc",""),IF($D131="","Thiếu trạng thái làm việc",""),IF($E131="","Thiếu ngày vào công ty",IF(OR(NOT(ISNUMBER($E131)),$E131&gt;TODAY()),"Ngày vào công ty không hợp lệ","")),IF($G131="","Thiếu phòng ban",""),IF($I131="","Thiếu chức danh",""),IF(AND($M131&lt;&gt;"",COUNTIF('01_HO_SO'!$C$6:$C$505,$M131)=0),"Mã quản lý không tồn tại",""),IF(AND($M131&lt;&gt;"",$M131=$C131),"Không thể tự quản lý chính mình",""),IF(OR($N131&lt;0,$N131&gt;1000000000),"Lương cơ bản ngoài phạm vi","")))</f>
        <v/>
      </c>
      <c r="C131" s="20" t="n"/>
      <c r="D131" s="21" t="n"/>
      <c r="E131" s="22" t="n"/>
      <c r="F131" s="21" t="n"/>
      <c r="G131" s="21" t="n"/>
      <c r="H131" s="21" t="n"/>
      <c r="I131" s="21" t="n"/>
      <c r="J131" s="19">
        <f>IF($I131="","",IFERROR(INDEX(DANH_MUC!$D$4:$D$1000,MATCH($I131,DANH_MUC!$C$4:$C$1000,0)),""))</f>
        <v/>
      </c>
      <c r="K131" s="21" t="n"/>
      <c r="L131" s="21" t="n"/>
      <c r="M131" s="20" t="n"/>
      <c r="N131" s="23" t="n"/>
      <c r="O131" s="21" t="n"/>
    </row>
    <row r="132">
      <c r="A132" s="19">
        <f>IF($C132="","CHƯA NHẬP",IF($B132="","HỢP LỆ","LỖI"))</f>
        <v/>
      </c>
      <c r="B132" s="19">
        <f>IF($C132="","",TEXTJOIN(" | ",TRUE,IF(COUNTIF('01_HO_SO'!$C$6:$C$505,$C132)=0,"Mã chưa có ở Bước 1",""),IF(COUNTIF($C$6:$C$505,$C132)&gt;1,"Trùng mã trong thông tin công việc",""),IF($D132="","Thiếu trạng thái làm việc",""),IF($E132="","Thiếu ngày vào công ty",IF(OR(NOT(ISNUMBER($E132)),$E132&gt;TODAY()),"Ngày vào công ty không hợp lệ","")),IF($G132="","Thiếu phòng ban",""),IF($I132="","Thiếu chức danh",""),IF(AND($M132&lt;&gt;"",COUNTIF('01_HO_SO'!$C$6:$C$505,$M132)=0),"Mã quản lý không tồn tại",""),IF(AND($M132&lt;&gt;"",$M132=$C132),"Không thể tự quản lý chính mình",""),IF(OR($N132&lt;0,$N132&gt;1000000000),"Lương cơ bản ngoài phạm vi","")))</f>
        <v/>
      </c>
      <c r="C132" s="20" t="n"/>
      <c r="D132" s="21" t="n"/>
      <c r="E132" s="22" t="n"/>
      <c r="F132" s="21" t="n"/>
      <c r="G132" s="21" t="n"/>
      <c r="H132" s="21" t="n"/>
      <c r="I132" s="21" t="n"/>
      <c r="J132" s="19">
        <f>IF($I132="","",IFERROR(INDEX(DANH_MUC!$D$4:$D$1000,MATCH($I132,DANH_MUC!$C$4:$C$1000,0)),""))</f>
        <v/>
      </c>
      <c r="K132" s="21" t="n"/>
      <c r="L132" s="21" t="n"/>
      <c r="M132" s="20" t="n"/>
      <c r="N132" s="23" t="n"/>
      <c r="O132" s="21" t="n"/>
    </row>
    <row r="133">
      <c r="A133" s="19">
        <f>IF($C133="","CHƯA NHẬP",IF($B133="","HỢP LỆ","LỖI"))</f>
        <v/>
      </c>
      <c r="B133" s="19">
        <f>IF($C133="","",TEXTJOIN(" | ",TRUE,IF(COUNTIF('01_HO_SO'!$C$6:$C$505,$C133)=0,"Mã chưa có ở Bước 1",""),IF(COUNTIF($C$6:$C$505,$C133)&gt;1,"Trùng mã trong thông tin công việc",""),IF($D133="","Thiếu trạng thái làm việc",""),IF($E133="","Thiếu ngày vào công ty",IF(OR(NOT(ISNUMBER($E133)),$E133&gt;TODAY()),"Ngày vào công ty không hợp lệ","")),IF($G133="","Thiếu phòng ban",""),IF($I133="","Thiếu chức danh",""),IF(AND($M133&lt;&gt;"",COUNTIF('01_HO_SO'!$C$6:$C$505,$M133)=0),"Mã quản lý không tồn tại",""),IF(AND($M133&lt;&gt;"",$M133=$C133),"Không thể tự quản lý chính mình",""),IF(OR($N133&lt;0,$N133&gt;1000000000),"Lương cơ bản ngoài phạm vi","")))</f>
        <v/>
      </c>
      <c r="C133" s="20" t="n"/>
      <c r="D133" s="21" t="n"/>
      <c r="E133" s="22" t="n"/>
      <c r="F133" s="21" t="n"/>
      <c r="G133" s="21" t="n"/>
      <c r="H133" s="21" t="n"/>
      <c r="I133" s="21" t="n"/>
      <c r="J133" s="19">
        <f>IF($I133="","",IFERROR(INDEX(DANH_MUC!$D$4:$D$1000,MATCH($I133,DANH_MUC!$C$4:$C$1000,0)),""))</f>
        <v/>
      </c>
      <c r="K133" s="21" t="n"/>
      <c r="L133" s="21" t="n"/>
      <c r="M133" s="20" t="n"/>
      <c r="N133" s="23" t="n"/>
      <c r="O133" s="21" t="n"/>
    </row>
    <row r="134">
      <c r="A134" s="19">
        <f>IF($C134="","CHƯA NHẬP",IF($B134="","HỢP LỆ","LỖI"))</f>
        <v/>
      </c>
      <c r="B134" s="19">
        <f>IF($C134="","",TEXTJOIN(" | ",TRUE,IF(COUNTIF('01_HO_SO'!$C$6:$C$505,$C134)=0,"Mã chưa có ở Bước 1",""),IF(COUNTIF($C$6:$C$505,$C134)&gt;1,"Trùng mã trong thông tin công việc",""),IF($D134="","Thiếu trạng thái làm việc",""),IF($E134="","Thiếu ngày vào công ty",IF(OR(NOT(ISNUMBER($E134)),$E134&gt;TODAY()),"Ngày vào công ty không hợp lệ","")),IF($G134="","Thiếu phòng ban",""),IF($I134="","Thiếu chức danh",""),IF(AND($M134&lt;&gt;"",COUNTIF('01_HO_SO'!$C$6:$C$505,$M134)=0),"Mã quản lý không tồn tại",""),IF(AND($M134&lt;&gt;"",$M134=$C134),"Không thể tự quản lý chính mình",""),IF(OR($N134&lt;0,$N134&gt;1000000000),"Lương cơ bản ngoài phạm vi","")))</f>
        <v/>
      </c>
      <c r="C134" s="20" t="n"/>
      <c r="D134" s="21" t="n"/>
      <c r="E134" s="22" t="n"/>
      <c r="F134" s="21" t="n"/>
      <c r="G134" s="21" t="n"/>
      <c r="H134" s="21" t="n"/>
      <c r="I134" s="21" t="n"/>
      <c r="J134" s="19">
        <f>IF($I134="","",IFERROR(INDEX(DANH_MUC!$D$4:$D$1000,MATCH($I134,DANH_MUC!$C$4:$C$1000,0)),""))</f>
        <v/>
      </c>
      <c r="K134" s="21" t="n"/>
      <c r="L134" s="21" t="n"/>
      <c r="M134" s="20" t="n"/>
      <c r="N134" s="23" t="n"/>
      <c r="O134" s="21" t="n"/>
    </row>
    <row r="135">
      <c r="A135" s="19">
        <f>IF($C135="","CHƯA NHẬP",IF($B135="","HỢP LỆ","LỖI"))</f>
        <v/>
      </c>
      <c r="B135" s="19">
        <f>IF($C135="","",TEXTJOIN(" | ",TRUE,IF(COUNTIF('01_HO_SO'!$C$6:$C$505,$C135)=0,"Mã chưa có ở Bước 1",""),IF(COUNTIF($C$6:$C$505,$C135)&gt;1,"Trùng mã trong thông tin công việc",""),IF($D135="","Thiếu trạng thái làm việc",""),IF($E135="","Thiếu ngày vào công ty",IF(OR(NOT(ISNUMBER($E135)),$E135&gt;TODAY()),"Ngày vào công ty không hợp lệ","")),IF($G135="","Thiếu phòng ban",""),IF($I135="","Thiếu chức danh",""),IF(AND($M135&lt;&gt;"",COUNTIF('01_HO_SO'!$C$6:$C$505,$M135)=0),"Mã quản lý không tồn tại",""),IF(AND($M135&lt;&gt;"",$M135=$C135),"Không thể tự quản lý chính mình",""),IF(OR($N135&lt;0,$N135&gt;1000000000),"Lương cơ bản ngoài phạm vi","")))</f>
        <v/>
      </c>
      <c r="C135" s="20" t="n"/>
      <c r="D135" s="21" t="n"/>
      <c r="E135" s="22" t="n"/>
      <c r="F135" s="21" t="n"/>
      <c r="G135" s="21" t="n"/>
      <c r="H135" s="21" t="n"/>
      <c r="I135" s="21" t="n"/>
      <c r="J135" s="19">
        <f>IF($I135="","",IFERROR(INDEX(DANH_MUC!$D$4:$D$1000,MATCH($I135,DANH_MUC!$C$4:$C$1000,0)),""))</f>
        <v/>
      </c>
      <c r="K135" s="21" t="n"/>
      <c r="L135" s="21" t="n"/>
      <c r="M135" s="20" t="n"/>
      <c r="N135" s="23" t="n"/>
      <c r="O135" s="21" t="n"/>
    </row>
    <row r="136">
      <c r="A136" s="19">
        <f>IF($C136="","CHƯA NHẬP",IF($B136="","HỢP LỆ","LỖI"))</f>
        <v/>
      </c>
      <c r="B136" s="19">
        <f>IF($C136="","",TEXTJOIN(" | ",TRUE,IF(COUNTIF('01_HO_SO'!$C$6:$C$505,$C136)=0,"Mã chưa có ở Bước 1",""),IF(COUNTIF($C$6:$C$505,$C136)&gt;1,"Trùng mã trong thông tin công việc",""),IF($D136="","Thiếu trạng thái làm việc",""),IF($E136="","Thiếu ngày vào công ty",IF(OR(NOT(ISNUMBER($E136)),$E136&gt;TODAY()),"Ngày vào công ty không hợp lệ","")),IF($G136="","Thiếu phòng ban",""),IF($I136="","Thiếu chức danh",""),IF(AND($M136&lt;&gt;"",COUNTIF('01_HO_SO'!$C$6:$C$505,$M136)=0),"Mã quản lý không tồn tại",""),IF(AND($M136&lt;&gt;"",$M136=$C136),"Không thể tự quản lý chính mình",""),IF(OR($N136&lt;0,$N136&gt;1000000000),"Lương cơ bản ngoài phạm vi","")))</f>
        <v/>
      </c>
      <c r="C136" s="20" t="n"/>
      <c r="D136" s="21" t="n"/>
      <c r="E136" s="22" t="n"/>
      <c r="F136" s="21" t="n"/>
      <c r="G136" s="21" t="n"/>
      <c r="H136" s="21" t="n"/>
      <c r="I136" s="21" t="n"/>
      <c r="J136" s="19">
        <f>IF($I136="","",IFERROR(INDEX(DANH_MUC!$D$4:$D$1000,MATCH($I136,DANH_MUC!$C$4:$C$1000,0)),""))</f>
        <v/>
      </c>
      <c r="K136" s="21" t="n"/>
      <c r="L136" s="21" t="n"/>
      <c r="M136" s="20" t="n"/>
      <c r="N136" s="23" t="n"/>
      <c r="O136" s="21" t="n"/>
    </row>
    <row r="137">
      <c r="A137" s="19">
        <f>IF($C137="","CHƯA NHẬP",IF($B137="","HỢP LỆ","LỖI"))</f>
        <v/>
      </c>
      <c r="B137" s="19">
        <f>IF($C137="","",TEXTJOIN(" | ",TRUE,IF(COUNTIF('01_HO_SO'!$C$6:$C$505,$C137)=0,"Mã chưa có ở Bước 1",""),IF(COUNTIF($C$6:$C$505,$C137)&gt;1,"Trùng mã trong thông tin công việc",""),IF($D137="","Thiếu trạng thái làm việc",""),IF($E137="","Thiếu ngày vào công ty",IF(OR(NOT(ISNUMBER($E137)),$E137&gt;TODAY()),"Ngày vào công ty không hợp lệ","")),IF($G137="","Thiếu phòng ban",""),IF($I137="","Thiếu chức danh",""),IF(AND($M137&lt;&gt;"",COUNTIF('01_HO_SO'!$C$6:$C$505,$M137)=0),"Mã quản lý không tồn tại",""),IF(AND($M137&lt;&gt;"",$M137=$C137),"Không thể tự quản lý chính mình",""),IF(OR($N137&lt;0,$N137&gt;1000000000),"Lương cơ bản ngoài phạm vi","")))</f>
        <v/>
      </c>
      <c r="C137" s="20" t="n"/>
      <c r="D137" s="21" t="n"/>
      <c r="E137" s="22" t="n"/>
      <c r="F137" s="21" t="n"/>
      <c r="G137" s="21" t="n"/>
      <c r="H137" s="21" t="n"/>
      <c r="I137" s="21" t="n"/>
      <c r="J137" s="19">
        <f>IF($I137="","",IFERROR(INDEX(DANH_MUC!$D$4:$D$1000,MATCH($I137,DANH_MUC!$C$4:$C$1000,0)),""))</f>
        <v/>
      </c>
      <c r="K137" s="21" t="n"/>
      <c r="L137" s="21" t="n"/>
      <c r="M137" s="20" t="n"/>
      <c r="N137" s="23" t="n"/>
      <c r="O137" s="21" t="n"/>
    </row>
    <row r="138">
      <c r="A138" s="19">
        <f>IF($C138="","CHƯA NHẬP",IF($B138="","HỢP LỆ","LỖI"))</f>
        <v/>
      </c>
      <c r="B138" s="19">
        <f>IF($C138="","",TEXTJOIN(" | ",TRUE,IF(COUNTIF('01_HO_SO'!$C$6:$C$505,$C138)=0,"Mã chưa có ở Bước 1",""),IF(COUNTIF($C$6:$C$505,$C138)&gt;1,"Trùng mã trong thông tin công việc",""),IF($D138="","Thiếu trạng thái làm việc",""),IF($E138="","Thiếu ngày vào công ty",IF(OR(NOT(ISNUMBER($E138)),$E138&gt;TODAY()),"Ngày vào công ty không hợp lệ","")),IF($G138="","Thiếu phòng ban",""),IF($I138="","Thiếu chức danh",""),IF(AND($M138&lt;&gt;"",COUNTIF('01_HO_SO'!$C$6:$C$505,$M138)=0),"Mã quản lý không tồn tại",""),IF(AND($M138&lt;&gt;"",$M138=$C138),"Không thể tự quản lý chính mình",""),IF(OR($N138&lt;0,$N138&gt;1000000000),"Lương cơ bản ngoài phạm vi","")))</f>
        <v/>
      </c>
      <c r="C138" s="20" t="n"/>
      <c r="D138" s="21" t="n"/>
      <c r="E138" s="22" t="n"/>
      <c r="F138" s="21" t="n"/>
      <c r="G138" s="21" t="n"/>
      <c r="H138" s="21" t="n"/>
      <c r="I138" s="21" t="n"/>
      <c r="J138" s="19">
        <f>IF($I138="","",IFERROR(INDEX(DANH_MUC!$D$4:$D$1000,MATCH($I138,DANH_MUC!$C$4:$C$1000,0)),""))</f>
        <v/>
      </c>
      <c r="K138" s="21" t="n"/>
      <c r="L138" s="21" t="n"/>
      <c r="M138" s="20" t="n"/>
      <c r="N138" s="23" t="n"/>
      <c r="O138" s="21" t="n"/>
    </row>
    <row r="139">
      <c r="A139" s="19">
        <f>IF($C139="","CHƯA NHẬP",IF($B139="","HỢP LỆ","LỖI"))</f>
        <v/>
      </c>
      <c r="B139" s="19">
        <f>IF($C139="","",TEXTJOIN(" | ",TRUE,IF(COUNTIF('01_HO_SO'!$C$6:$C$505,$C139)=0,"Mã chưa có ở Bước 1",""),IF(COUNTIF($C$6:$C$505,$C139)&gt;1,"Trùng mã trong thông tin công việc",""),IF($D139="","Thiếu trạng thái làm việc",""),IF($E139="","Thiếu ngày vào công ty",IF(OR(NOT(ISNUMBER($E139)),$E139&gt;TODAY()),"Ngày vào công ty không hợp lệ","")),IF($G139="","Thiếu phòng ban",""),IF($I139="","Thiếu chức danh",""),IF(AND($M139&lt;&gt;"",COUNTIF('01_HO_SO'!$C$6:$C$505,$M139)=0),"Mã quản lý không tồn tại",""),IF(AND($M139&lt;&gt;"",$M139=$C139),"Không thể tự quản lý chính mình",""),IF(OR($N139&lt;0,$N139&gt;1000000000),"Lương cơ bản ngoài phạm vi","")))</f>
        <v/>
      </c>
      <c r="C139" s="20" t="n"/>
      <c r="D139" s="21" t="n"/>
      <c r="E139" s="22" t="n"/>
      <c r="F139" s="21" t="n"/>
      <c r="G139" s="21" t="n"/>
      <c r="H139" s="21" t="n"/>
      <c r="I139" s="21" t="n"/>
      <c r="J139" s="19">
        <f>IF($I139="","",IFERROR(INDEX(DANH_MUC!$D$4:$D$1000,MATCH($I139,DANH_MUC!$C$4:$C$1000,0)),""))</f>
        <v/>
      </c>
      <c r="K139" s="21" t="n"/>
      <c r="L139" s="21" t="n"/>
      <c r="M139" s="20" t="n"/>
      <c r="N139" s="23" t="n"/>
      <c r="O139" s="21" t="n"/>
    </row>
    <row r="140">
      <c r="A140" s="19">
        <f>IF($C140="","CHƯA NHẬP",IF($B140="","HỢP LỆ","LỖI"))</f>
        <v/>
      </c>
      <c r="B140" s="19">
        <f>IF($C140="","",TEXTJOIN(" | ",TRUE,IF(COUNTIF('01_HO_SO'!$C$6:$C$505,$C140)=0,"Mã chưa có ở Bước 1",""),IF(COUNTIF($C$6:$C$505,$C140)&gt;1,"Trùng mã trong thông tin công việc",""),IF($D140="","Thiếu trạng thái làm việc",""),IF($E140="","Thiếu ngày vào công ty",IF(OR(NOT(ISNUMBER($E140)),$E140&gt;TODAY()),"Ngày vào công ty không hợp lệ","")),IF($G140="","Thiếu phòng ban",""),IF($I140="","Thiếu chức danh",""),IF(AND($M140&lt;&gt;"",COUNTIF('01_HO_SO'!$C$6:$C$505,$M140)=0),"Mã quản lý không tồn tại",""),IF(AND($M140&lt;&gt;"",$M140=$C140),"Không thể tự quản lý chính mình",""),IF(OR($N140&lt;0,$N140&gt;1000000000),"Lương cơ bản ngoài phạm vi","")))</f>
        <v/>
      </c>
      <c r="C140" s="20" t="n"/>
      <c r="D140" s="21" t="n"/>
      <c r="E140" s="22" t="n"/>
      <c r="F140" s="21" t="n"/>
      <c r="G140" s="21" t="n"/>
      <c r="H140" s="21" t="n"/>
      <c r="I140" s="21" t="n"/>
      <c r="J140" s="19">
        <f>IF($I140="","",IFERROR(INDEX(DANH_MUC!$D$4:$D$1000,MATCH($I140,DANH_MUC!$C$4:$C$1000,0)),""))</f>
        <v/>
      </c>
      <c r="K140" s="21" t="n"/>
      <c r="L140" s="21" t="n"/>
      <c r="M140" s="20" t="n"/>
      <c r="N140" s="23" t="n"/>
      <c r="O140" s="21" t="n"/>
    </row>
    <row r="141">
      <c r="A141" s="19">
        <f>IF($C141="","CHƯA NHẬP",IF($B141="","HỢP LỆ","LỖI"))</f>
        <v/>
      </c>
      <c r="B141" s="19">
        <f>IF($C141="","",TEXTJOIN(" | ",TRUE,IF(COUNTIF('01_HO_SO'!$C$6:$C$505,$C141)=0,"Mã chưa có ở Bước 1",""),IF(COUNTIF($C$6:$C$505,$C141)&gt;1,"Trùng mã trong thông tin công việc",""),IF($D141="","Thiếu trạng thái làm việc",""),IF($E141="","Thiếu ngày vào công ty",IF(OR(NOT(ISNUMBER($E141)),$E141&gt;TODAY()),"Ngày vào công ty không hợp lệ","")),IF($G141="","Thiếu phòng ban",""),IF($I141="","Thiếu chức danh",""),IF(AND($M141&lt;&gt;"",COUNTIF('01_HO_SO'!$C$6:$C$505,$M141)=0),"Mã quản lý không tồn tại",""),IF(AND($M141&lt;&gt;"",$M141=$C141),"Không thể tự quản lý chính mình",""),IF(OR($N141&lt;0,$N141&gt;1000000000),"Lương cơ bản ngoài phạm vi","")))</f>
        <v/>
      </c>
      <c r="C141" s="20" t="n"/>
      <c r="D141" s="21" t="n"/>
      <c r="E141" s="22" t="n"/>
      <c r="F141" s="21" t="n"/>
      <c r="G141" s="21" t="n"/>
      <c r="H141" s="21" t="n"/>
      <c r="I141" s="21" t="n"/>
      <c r="J141" s="19">
        <f>IF($I141="","",IFERROR(INDEX(DANH_MUC!$D$4:$D$1000,MATCH($I141,DANH_MUC!$C$4:$C$1000,0)),""))</f>
        <v/>
      </c>
      <c r="K141" s="21" t="n"/>
      <c r="L141" s="21" t="n"/>
      <c r="M141" s="20" t="n"/>
      <c r="N141" s="23" t="n"/>
      <c r="O141" s="21" t="n"/>
    </row>
    <row r="142">
      <c r="A142" s="19">
        <f>IF($C142="","CHƯA NHẬP",IF($B142="","HỢP LỆ","LỖI"))</f>
        <v/>
      </c>
      <c r="B142" s="19">
        <f>IF($C142="","",TEXTJOIN(" | ",TRUE,IF(COUNTIF('01_HO_SO'!$C$6:$C$505,$C142)=0,"Mã chưa có ở Bước 1",""),IF(COUNTIF($C$6:$C$505,$C142)&gt;1,"Trùng mã trong thông tin công việc",""),IF($D142="","Thiếu trạng thái làm việc",""),IF($E142="","Thiếu ngày vào công ty",IF(OR(NOT(ISNUMBER($E142)),$E142&gt;TODAY()),"Ngày vào công ty không hợp lệ","")),IF($G142="","Thiếu phòng ban",""),IF($I142="","Thiếu chức danh",""),IF(AND($M142&lt;&gt;"",COUNTIF('01_HO_SO'!$C$6:$C$505,$M142)=0),"Mã quản lý không tồn tại",""),IF(AND($M142&lt;&gt;"",$M142=$C142),"Không thể tự quản lý chính mình",""),IF(OR($N142&lt;0,$N142&gt;1000000000),"Lương cơ bản ngoài phạm vi","")))</f>
        <v/>
      </c>
      <c r="C142" s="20" t="n"/>
      <c r="D142" s="21" t="n"/>
      <c r="E142" s="22" t="n"/>
      <c r="F142" s="21" t="n"/>
      <c r="G142" s="21" t="n"/>
      <c r="H142" s="21" t="n"/>
      <c r="I142" s="21" t="n"/>
      <c r="J142" s="19">
        <f>IF($I142="","",IFERROR(INDEX(DANH_MUC!$D$4:$D$1000,MATCH($I142,DANH_MUC!$C$4:$C$1000,0)),""))</f>
        <v/>
      </c>
      <c r="K142" s="21" t="n"/>
      <c r="L142" s="21" t="n"/>
      <c r="M142" s="20" t="n"/>
      <c r="N142" s="23" t="n"/>
      <c r="O142" s="21" t="n"/>
    </row>
    <row r="143">
      <c r="A143" s="19">
        <f>IF($C143="","CHƯA NHẬP",IF($B143="","HỢP LỆ","LỖI"))</f>
        <v/>
      </c>
      <c r="B143" s="19">
        <f>IF($C143="","",TEXTJOIN(" | ",TRUE,IF(COUNTIF('01_HO_SO'!$C$6:$C$505,$C143)=0,"Mã chưa có ở Bước 1",""),IF(COUNTIF($C$6:$C$505,$C143)&gt;1,"Trùng mã trong thông tin công việc",""),IF($D143="","Thiếu trạng thái làm việc",""),IF($E143="","Thiếu ngày vào công ty",IF(OR(NOT(ISNUMBER($E143)),$E143&gt;TODAY()),"Ngày vào công ty không hợp lệ","")),IF($G143="","Thiếu phòng ban",""),IF($I143="","Thiếu chức danh",""),IF(AND($M143&lt;&gt;"",COUNTIF('01_HO_SO'!$C$6:$C$505,$M143)=0),"Mã quản lý không tồn tại",""),IF(AND($M143&lt;&gt;"",$M143=$C143),"Không thể tự quản lý chính mình",""),IF(OR($N143&lt;0,$N143&gt;1000000000),"Lương cơ bản ngoài phạm vi","")))</f>
        <v/>
      </c>
      <c r="C143" s="20" t="n"/>
      <c r="D143" s="21" t="n"/>
      <c r="E143" s="22" t="n"/>
      <c r="F143" s="21" t="n"/>
      <c r="G143" s="21" t="n"/>
      <c r="H143" s="21" t="n"/>
      <c r="I143" s="21" t="n"/>
      <c r="J143" s="19">
        <f>IF($I143="","",IFERROR(INDEX(DANH_MUC!$D$4:$D$1000,MATCH($I143,DANH_MUC!$C$4:$C$1000,0)),""))</f>
        <v/>
      </c>
      <c r="K143" s="21" t="n"/>
      <c r="L143" s="21" t="n"/>
      <c r="M143" s="20" t="n"/>
      <c r="N143" s="23" t="n"/>
      <c r="O143" s="21" t="n"/>
    </row>
    <row r="144">
      <c r="A144" s="19">
        <f>IF($C144="","CHƯA NHẬP",IF($B144="","HỢP LỆ","LỖI"))</f>
        <v/>
      </c>
      <c r="B144" s="19">
        <f>IF($C144="","",TEXTJOIN(" | ",TRUE,IF(COUNTIF('01_HO_SO'!$C$6:$C$505,$C144)=0,"Mã chưa có ở Bước 1",""),IF(COUNTIF($C$6:$C$505,$C144)&gt;1,"Trùng mã trong thông tin công việc",""),IF($D144="","Thiếu trạng thái làm việc",""),IF($E144="","Thiếu ngày vào công ty",IF(OR(NOT(ISNUMBER($E144)),$E144&gt;TODAY()),"Ngày vào công ty không hợp lệ","")),IF($G144="","Thiếu phòng ban",""),IF($I144="","Thiếu chức danh",""),IF(AND($M144&lt;&gt;"",COUNTIF('01_HO_SO'!$C$6:$C$505,$M144)=0),"Mã quản lý không tồn tại",""),IF(AND($M144&lt;&gt;"",$M144=$C144),"Không thể tự quản lý chính mình",""),IF(OR($N144&lt;0,$N144&gt;1000000000),"Lương cơ bản ngoài phạm vi","")))</f>
        <v/>
      </c>
      <c r="C144" s="20" t="n"/>
      <c r="D144" s="21" t="n"/>
      <c r="E144" s="22" t="n"/>
      <c r="F144" s="21" t="n"/>
      <c r="G144" s="21" t="n"/>
      <c r="H144" s="21" t="n"/>
      <c r="I144" s="21" t="n"/>
      <c r="J144" s="19">
        <f>IF($I144="","",IFERROR(INDEX(DANH_MUC!$D$4:$D$1000,MATCH($I144,DANH_MUC!$C$4:$C$1000,0)),""))</f>
        <v/>
      </c>
      <c r="K144" s="21" t="n"/>
      <c r="L144" s="21" t="n"/>
      <c r="M144" s="20" t="n"/>
      <c r="N144" s="23" t="n"/>
      <c r="O144" s="21" t="n"/>
    </row>
    <row r="145">
      <c r="A145" s="19">
        <f>IF($C145="","CHƯA NHẬP",IF($B145="","HỢP LỆ","LỖI"))</f>
        <v/>
      </c>
      <c r="B145" s="19">
        <f>IF($C145="","",TEXTJOIN(" | ",TRUE,IF(COUNTIF('01_HO_SO'!$C$6:$C$505,$C145)=0,"Mã chưa có ở Bước 1",""),IF(COUNTIF($C$6:$C$505,$C145)&gt;1,"Trùng mã trong thông tin công việc",""),IF($D145="","Thiếu trạng thái làm việc",""),IF($E145="","Thiếu ngày vào công ty",IF(OR(NOT(ISNUMBER($E145)),$E145&gt;TODAY()),"Ngày vào công ty không hợp lệ","")),IF($G145="","Thiếu phòng ban",""),IF($I145="","Thiếu chức danh",""),IF(AND($M145&lt;&gt;"",COUNTIF('01_HO_SO'!$C$6:$C$505,$M145)=0),"Mã quản lý không tồn tại",""),IF(AND($M145&lt;&gt;"",$M145=$C145),"Không thể tự quản lý chính mình",""),IF(OR($N145&lt;0,$N145&gt;1000000000),"Lương cơ bản ngoài phạm vi","")))</f>
        <v/>
      </c>
      <c r="C145" s="20" t="n"/>
      <c r="D145" s="21" t="n"/>
      <c r="E145" s="22" t="n"/>
      <c r="F145" s="21" t="n"/>
      <c r="G145" s="21" t="n"/>
      <c r="H145" s="21" t="n"/>
      <c r="I145" s="21" t="n"/>
      <c r="J145" s="19">
        <f>IF($I145="","",IFERROR(INDEX(DANH_MUC!$D$4:$D$1000,MATCH($I145,DANH_MUC!$C$4:$C$1000,0)),""))</f>
        <v/>
      </c>
      <c r="K145" s="21" t="n"/>
      <c r="L145" s="21" t="n"/>
      <c r="M145" s="20" t="n"/>
      <c r="N145" s="23" t="n"/>
      <c r="O145" s="21" t="n"/>
    </row>
    <row r="146">
      <c r="A146" s="19">
        <f>IF($C146="","CHƯA NHẬP",IF($B146="","HỢP LỆ","LỖI"))</f>
        <v/>
      </c>
      <c r="B146" s="19">
        <f>IF($C146="","",TEXTJOIN(" | ",TRUE,IF(COUNTIF('01_HO_SO'!$C$6:$C$505,$C146)=0,"Mã chưa có ở Bước 1",""),IF(COUNTIF($C$6:$C$505,$C146)&gt;1,"Trùng mã trong thông tin công việc",""),IF($D146="","Thiếu trạng thái làm việc",""),IF($E146="","Thiếu ngày vào công ty",IF(OR(NOT(ISNUMBER($E146)),$E146&gt;TODAY()),"Ngày vào công ty không hợp lệ","")),IF($G146="","Thiếu phòng ban",""),IF($I146="","Thiếu chức danh",""),IF(AND($M146&lt;&gt;"",COUNTIF('01_HO_SO'!$C$6:$C$505,$M146)=0),"Mã quản lý không tồn tại",""),IF(AND($M146&lt;&gt;"",$M146=$C146),"Không thể tự quản lý chính mình",""),IF(OR($N146&lt;0,$N146&gt;1000000000),"Lương cơ bản ngoài phạm vi","")))</f>
        <v/>
      </c>
      <c r="C146" s="20" t="n"/>
      <c r="D146" s="21" t="n"/>
      <c r="E146" s="22" t="n"/>
      <c r="F146" s="21" t="n"/>
      <c r="G146" s="21" t="n"/>
      <c r="H146" s="21" t="n"/>
      <c r="I146" s="21" t="n"/>
      <c r="J146" s="19">
        <f>IF($I146="","",IFERROR(INDEX(DANH_MUC!$D$4:$D$1000,MATCH($I146,DANH_MUC!$C$4:$C$1000,0)),""))</f>
        <v/>
      </c>
      <c r="K146" s="21" t="n"/>
      <c r="L146" s="21" t="n"/>
      <c r="M146" s="20" t="n"/>
      <c r="N146" s="23" t="n"/>
      <c r="O146" s="21" t="n"/>
    </row>
    <row r="147">
      <c r="A147" s="19">
        <f>IF($C147="","CHƯA NHẬP",IF($B147="","HỢP LỆ","LỖI"))</f>
        <v/>
      </c>
      <c r="B147" s="19">
        <f>IF($C147="","",TEXTJOIN(" | ",TRUE,IF(COUNTIF('01_HO_SO'!$C$6:$C$505,$C147)=0,"Mã chưa có ở Bước 1",""),IF(COUNTIF($C$6:$C$505,$C147)&gt;1,"Trùng mã trong thông tin công việc",""),IF($D147="","Thiếu trạng thái làm việc",""),IF($E147="","Thiếu ngày vào công ty",IF(OR(NOT(ISNUMBER($E147)),$E147&gt;TODAY()),"Ngày vào công ty không hợp lệ","")),IF($G147="","Thiếu phòng ban",""),IF($I147="","Thiếu chức danh",""),IF(AND($M147&lt;&gt;"",COUNTIF('01_HO_SO'!$C$6:$C$505,$M147)=0),"Mã quản lý không tồn tại",""),IF(AND($M147&lt;&gt;"",$M147=$C147),"Không thể tự quản lý chính mình",""),IF(OR($N147&lt;0,$N147&gt;1000000000),"Lương cơ bản ngoài phạm vi","")))</f>
        <v/>
      </c>
      <c r="C147" s="20" t="n"/>
      <c r="D147" s="21" t="n"/>
      <c r="E147" s="22" t="n"/>
      <c r="F147" s="21" t="n"/>
      <c r="G147" s="21" t="n"/>
      <c r="H147" s="21" t="n"/>
      <c r="I147" s="21" t="n"/>
      <c r="J147" s="19">
        <f>IF($I147="","",IFERROR(INDEX(DANH_MUC!$D$4:$D$1000,MATCH($I147,DANH_MUC!$C$4:$C$1000,0)),""))</f>
        <v/>
      </c>
      <c r="K147" s="21" t="n"/>
      <c r="L147" s="21" t="n"/>
      <c r="M147" s="20" t="n"/>
      <c r="N147" s="23" t="n"/>
      <c r="O147" s="21" t="n"/>
    </row>
    <row r="148">
      <c r="A148" s="19">
        <f>IF($C148="","CHƯA NHẬP",IF($B148="","HỢP LỆ","LỖI"))</f>
        <v/>
      </c>
      <c r="B148" s="19">
        <f>IF($C148="","",TEXTJOIN(" | ",TRUE,IF(COUNTIF('01_HO_SO'!$C$6:$C$505,$C148)=0,"Mã chưa có ở Bước 1",""),IF(COUNTIF($C$6:$C$505,$C148)&gt;1,"Trùng mã trong thông tin công việc",""),IF($D148="","Thiếu trạng thái làm việc",""),IF($E148="","Thiếu ngày vào công ty",IF(OR(NOT(ISNUMBER($E148)),$E148&gt;TODAY()),"Ngày vào công ty không hợp lệ","")),IF($G148="","Thiếu phòng ban",""),IF($I148="","Thiếu chức danh",""),IF(AND($M148&lt;&gt;"",COUNTIF('01_HO_SO'!$C$6:$C$505,$M148)=0),"Mã quản lý không tồn tại",""),IF(AND($M148&lt;&gt;"",$M148=$C148),"Không thể tự quản lý chính mình",""),IF(OR($N148&lt;0,$N148&gt;1000000000),"Lương cơ bản ngoài phạm vi","")))</f>
        <v/>
      </c>
      <c r="C148" s="20" t="n"/>
      <c r="D148" s="21" t="n"/>
      <c r="E148" s="22" t="n"/>
      <c r="F148" s="21" t="n"/>
      <c r="G148" s="21" t="n"/>
      <c r="H148" s="21" t="n"/>
      <c r="I148" s="21" t="n"/>
      <c r="J148" s="19">
        <f>IF($I148="","",IFERROR(INDEX(DANH_MUC!$D$4:$D$1000,MATCH($I148,DANH_MUC!$C$4:$C$1000,0)),""))</f>
        <v/>
      </c>
      <c r="K148" s="21" t="n"/>
      <c r="L148" s="21" t="n"/>
      <c r="M148" s="20" t="n"/>
      <c r="N148" s="23" t="n"/>
      <c r="O148" s="21" t="n"/>
    </row>
    <row r="149">
      <c r="A149" s="19">
        <f>IF($C149="","CHƯA NHẬP",IF($B149="","HỢP LỆ","LỖI"))</f>
        <v/>
      </c>
      <c r="B149" s="19">
        <f>IF($C149="","",TEXTJOIN(" | ",TRUE,IF(COUNTIF('01_HO_SO'!$C$6:$C$505,$C149)=0,"Mã chưa có ở Bước 1",""),IF(COUNTIF($C$6:$C$505,$C149)&gt;1,"Trùng mã trong thông tin công việc",""),IF($D149="","Thiếu trạng thái làm việc",""),IF($E149="","Thiếu ngày vào công ty",IF(OR(NOT(ISNUMBER($E149)),$E149&gt;TODAY()),"Ngày vào công ty không hợp lệ","")),IF($G149="","Thiếu phòng ban",""),IF($I149="","Thiếu chức danh",""),IF(AND($M149&lt;&gt;"",COUNTIF('01_HO_SO'!$C$6:$C$505,$M149)=0),"Mã quản lý không tồn tại",""),IF(AND($M149&lt;&gt;"",$M149=$C149),"Không thể tự quản lý chính mình",""),IF(OR($N149&lt;0,$N149&gt;1000000000),"Lương cơ bản ngoài phạm vi","")))</f>
        <v/>
      </c>
      <c r="C149" s="20" t="n"/>
      <c r="D149" s="21" t="n"/>
      <c r="E149" s="22" t="n"/>
      <c r="F149" s="21" t="n"/>
      <c r="G149" s="21" t="n"/>
      <c r="H149" s="21" t="n"/>
      <c r="I149" s="21" t="n"/>
      <c r="J149" s="19">
        <f>IF($I149="","",IFERROR(INDEX(DANH_MUC!$D$4:$D$1000,MATCH($I149,DANH_MUC!$C$4:$C$1000,0)),""))</f>
        <v/>
      </c>
      <c r="K149" s="21" t="n"/>
      <c r="L149" s="21" t="n"/>
      <c r="M149" s="20" t="n"/>
      <c r="N149" s="23" t="n"/>
      <c r="O149" s="21" t="n"/>
    </row>
    <row r="150">
      <c r="A150" s="19">
        <f>IF($C150="","CHƯA NHẬP",IF($B150="","HỢP LỆ","LỖI"))</f>
        <v/>
      </c>
      <c r="B150" s="19">
        <f>IF($C150="","",TEXTJOIN(" | ",TRUE,IF(COUNTIF('01_HO_SO'!$C$6:$C$505,$C150)=0,"Mã chưa có ở Bước 1",""),IF(COUNTIF($C$6:$C$505,$C150)&gt;1,"Trùng mã trong thông tin công việc",""),IF($D150="","Thiếu trạng thái làm việc",""),IF($E150="","Thiếu ngày vào công ty",IF(OR(NOT(ISNUMBER($E150)),$E150&gt;TODAY()),"Ngày vào công ty không hợp lệ","")),IF($G150="","Thiếu phòng ban",""),IF($I150="","Thiếu chức danh",""),IF(AND($M150&lt;&gt;"",COUNTIF('01_HO_SO'!$C$6:$C$505,$M150)=0),"Mã quản lý không tồn tại",""),IF(AND($M150&lt;&gt;"",$M150=$C150),"Không thể tự quản lý chính mình",""),IF(OR($N150&lt;0,$N150&gt;1000000000),"Lương cơ bản ngoài phạm vi","")))</f>
        <v/>
      </c>
      <c r="C150" s="20" t="n"/>
      <c r="D150" s="21" t="n"/>
      <c r="E150" s="22" t="n"/>
      <c r="F150" s="21" t="n"/>
      <c r="G150" s="21" t="n"/>
      <c r="H150" s="21" t="n"/>
      <c r="I150" s="21" t="n"/>
      <c r="J150" s="19">
        <f>IF($I150="","",IFERROR(INDEX(DANH_MUC!$D$4:$D$1000,MATCH($I150,DANH_MUC!$C$4:$C$1000,0)),""))</f>
        <v/>
      </c>
      <c r="K150" s="21" t="n"/>
      <c r="L150" s="21" t="n"/>
      <c r="M150" s="20" t="n"/>
      <c r="N150" s="23" t="n"/>
      <c r="O150" s="21" t="n"/>
    </row>
    <row r="151">
      <c r="A151" s="19">
        <f>IF($C151="","CHƯA NHẬP",IF($B151="","HỢP LỆ","LỖI"))</f>
        <v/>
      </c>
      <c r="B151" s="19">
        <f>IF($C151="","",TEXTJOIN(" | ",TRUE,IF(COUNTIF('01_HO_SO'!$C$6:$C$505,$C151)=0,"Mã chưa có ở Bước 1",""),IF(COUNTIF($C$6:$C$505,$C151)&gt;1,"Trùng mã trong thông tin công việc",""),IF($D151="","Thiếu trạng thái làm việc",""),IF($E151="","Thiếu ngày vào công ty",IF(OR(NOT(ISNUMBER($E151)),$E151&gt;TODAY()),"Ngày vào công ty không hợp lệ","")),IF($G151="","Thiếu phòng ban",""),IF($I151="","Thiếu chức danh",""),IF(AND($M151&lt;&gt;"",COUNTIF('01_HO_SO'!$C$6:$C$505,$M151)=0),"Mã quản lý không tồn tại",""),IF(AND($M151&lt;&gt;"",$M151=$C151),"Không thể tự quản lý chính mình",""),IF(OR($N151&lt;0,$N151&gt;1000000000),"Lương cơ bản ngoài phạm vi","")))</f>
        <v/>
      </c>
      <c r="C151" s="20" t="n"/>
      <c r="D151" s="21" t="n"/>
      <c r="E151" s="22" t="n"/>
      <c r="F151" s="21" t="n"/>
      <c r="G151" s="21" t="n"/>
      <c r="H151" s="21" t="n"/>
      <c r="I151" s="21" t="n"/>
      <c r="J151" s="19">
        <f>IF($I151="","",IFERROR(INDEX(DANH_MUC!$D$4:$D$1000,MATCH($I151,DANH_MUC!$C$4:$C$1000,0)),""))</f>
        <v/>
      </c>
      <c r="K151" s="21" t="n"/>
      <c r="L151" s="21" t="n"/>
      <c r="M151" s="20" t="n"/>
      <c r="N151" s="23" t="n"/>
      <c r="O151" s="21" t="n"/>
    </row>
    <row r="152">
      <c r="A152" s="19">
        <f>IF($C152="","CHƯA NHẬP",IF($B152="","HỢP LỆ","LỖI"))</f>
        <v/>
      </c>
      <c r="B152" s="19">
        <f>IF($C152="","",TEXTJOIN(" | ",TRUE,IF(COUNTIF('01_HO_SO'!$C$6:$C$505,$C152)=0,"Mã chưa có ở Bước 1",""),IF(COUNTIF($C$6:$C$505,$C152)&gt;1,"Trùng mã trong thông tin công việc",""),IF($D152="","Thiếu trạng thái làm việc",""),IF($E152="","Thiếu ngày vào công ty",IF(OR(NOT(ISNUMBER($E152)),$E152&gt;TODAY()),"Ngày vào công ty không hợp lệ","")),IF($G152="","Thiếu phòng ban",""),IF($I152="","Thiếu chức danh",""),IF(AND($M152&lt;&gt;"",COUNTIF('01_HO_SO'!$C$6:$C$505,$M152)=0),"Mã quản lý không tồn tại",""),IF(AND($M152&lt;&gt;"",$M152=$C152),"Không thể tự quản lý chính mình",""),IF(OR($N152&lt;0,$N152&gt;1000000000),"Lương cơ bản ngoài phạm vi","")))</f>
        <v/>
      </c>
      <c r="C152" s="20" t="n"/>
      <c r="D152" s="21" t="n"/>
      <c r="E152" s="22" t="n"/>
      <c r="F152" s="21" t="n"/>
      <c r="G152" s="21" t="n"/>
      <c r="H152" s="21" t="n"/>
      <c r="I152" s="21" t="n"/>
      <c r="J152" s="19">
        <f>IF($I152="","",IFERROR(INDEX(DANH_MUC!$D$4:$D$1000,MATCH($I152,DANH_MUC!$C$4:$C$1000,0)),""))</f>
        <v/>
      </c>
      <c r="K152" s="21" t="n"/>
      <c r="L152" s="21" t="n"/>
      <c r="M152" s="20" t="n"/>
      <c r="N152" s="23" t="n"/>
      <c r="O152" s="21" t="n"/>
    </row>
    <row r="153">
      <c r="A153" s="19">
        <f>IF($C153="","CHƯA NHẬP",IF($B153="","HỢP LỆ","LỖI"))</f>
        <v/>
      </c>
      <c r="B153" s="19">
        <f>IF($C153="","",TEXTJOIN(" | ",TRUE,IF(COUNTIF('01_HO_SO'!$C$6:$C$505,$C153)=0,"Mã chưa có ở Bước 1",""),IF(COUNTIF($C$6:$C$505,$C153)&gt;1,"Trùng mã trong thông tin công việc",""),IF($D153="","Thiếu trạng thái làm việc",""),IF($E153="","Thiếu ngày vào công ty",IF(OR(NOT(ISNUMBER($E153)),$E153&gt;TODAY()),"Ngày vào công ty không hợp lệ","")),IF($G153="","Thiếu phòng ban",""),IF($I153="","Thiếu chức danh",""),IF(AND($M153&lt;&gt;"",COUNTIF('01_HO_SO'!$C$6:$C$505,$M153)=0),"Mã quản lý không tồn tại",""),IF(AND($M153&lt;&gt;"",$M153=$C153),"Không thể tự quản lý chính mình",""),IF(OR($N153&lt;0,$N153&gt;1000000000),"Lương cơ bản ngoài phạm vi","")))</f>
        <v/>
      </c>
      <c r="C153" s="20" t="n"/>
      <c r="D153" s="21" t="n"/>
      <c r="E153" s="22" t="n"/>
      <c r="F153" s="21" t="n"/>
      <c r="G153" s="21" t="n"/>
      <c r="H153" s="21" t="n"/>
      <c r="I153" s="21" t="n"/>
      <c r="J153" s="19">
        <f>IF($I153="","",IFERROR(INDEX(DANH_MUC!$D$4:$D$1000,MATCH($I153,DANH_MUC!$C$4:$C$1000,0)),""))</f>
        <v/>
      </c>
      <c r="K153" s="21" t="n"/>
      <c r="L153" s="21" t="n"/>
      <c r="M153" s="20" t="n"/>
      <c r="N153" s="23" t="n"/>
      <c r="O153" s="21" t="n"/>
    </row>
    <row r="154">
      <c r="A154" s="19">
        <f>IF($C154="","CHƯA NHẬP",IF($B154="","HỢP LỆ","LỖI"))</f>
        <v/>
      </c>
      <c r="B154" s="19">
        <f>IF($C154="","",TEXTJOIN(" | ",TRUE,IF(COUNTIF('01_HO_SO'!$C$6:$C$505,$C154)=0,"Mã chưa có ở Bước 1",""),IF(COUNTIF($C$6:$C$505,$C154)&gt;1,"Trùng mã trong thông tin công việc",""),IF($D154="","Thiếu trạng thái làm việc",""),IF($E154="","Thiếu ngày vào công ty",IF(OR(NOT(ISNUMBER($E154)),$E154&gt;TODAY()),"Ngày vào công ty không hợp lệ","")),IF($G154="","Thiếu phòng ban",""),IF($I154="","Thiếu chức danh",""),IF(AND($M154&lt;&gt;"",COUNTIF('01_HO_SO'!$C$6:$C$505,$M154)=0),"Mã quản lý không tồn tại",""),IF(AND($M154&lt;&gt;"",$M154=$C154),"Không thể tự quản lý chính mình",""),IF(OR($N154&lt;0,$N154&gt;1000000000),"Lương cơ bản ngoài phạm vi","")))</f>
        <v/>
      </c>
      <c r="C154" s="20" t="n"/>
      <c r="D154" s="21" t="n"/>
      <c r="E154" s="22" t="n"/>
      <c r="F154" s="21" t="n"/>
      <c r="G154" s="21" t="n"/>
      <c r="H154" s="21" t="n"/>
      <c r="I154" s="21" t="n"/>
      <c r="J154" s="19">
        <f>IF($I154="","",IFERROR(INDEX(DANH_MUC!$D$4:$D$1000,MATCH($I154,DANH_MUC!$C$4:$C$1000,0)),""))</f>
        <v/>
      </c>
      <c r="K154" s="21" t="n"/>
      <c r="L154" s="21" t="n"/>
      <c r="M154" s="20" t="n"/>
      <c r="N154" s="23" t="n"/>
      <c r="O154" s="21" t="n"/>
    </row>
    <row r="155">
      <c r="A155" s="19">
        <f>IF($C155="","CHƯA NHẬP",IF($B155="","HỢP LỆ","LỖI"))</f>
        <v/>
      </c>
      <c r="B155" s="19">
        <f>IF($C155="","",TEXTJOIN(" | ",TRUE,IF(COUNTIF('01_HO_SO'!$C$6:$C$505,$C155)=0,"Mã chưa có ở Bước 1",""),IF(COUNTIF($C$6:$C$505,$C155)&gt;1,"Trùng mã trong thông tin công việc",""),IF($D155="","Thiếu trạng thái làm việc",""),IF($E155="","Thiếu ngày vào công ty",IF(OR(NOT(ISNUMBER($E155)),$E155&gt;TODAY()),"Ngày vào công ty không hợp lệ","")),IF($G155="","Thiếu phòng ban",""),IF($I155="","Thiếu chức danh",""),IF(AND($M155&lt;&gt;"",COUNTIF('01_HO_SO'!$C$6:$C$505,$M155)=0),"Mã quản lý không tồn tại",""),IF(AND($M155&lt;&gt;"",$M155=$C155),"Không thể tự quản lý chính mình",""),IF(OR($N155&lt;0,$N155&gt;1000000000),"Lương cơ bản ngoài phạm vi","")))</f>
        <v/>
      </c>
      <c r="C155" s="20" t="n"/>
      <c r="D155" s="21" t="n"/>
      <c r="E155" s="22" t="n"/>
      <c r="F155" s="21" t="n"/>
      <c r="G155" s="21" t="n"/>
      <c r="H155" s="21" t="n"/>
      <c r="I155" s="21" t="n"/>
      <c r="J155" s="19">
        <f>IF($I155="","",IFERROR(INDEX(DANH_MUC!$D$4:$D$1000,MATCH($I155,DANH_MUC!$C$4:$C$1000,0)),""))</f>
        <v/>
      </c>
      <c r="K155" s="21" t="n"/>
      <c r="L155" s="21" t="n"/>
      <c r="M155" s="20" t="n"/>
      <c r="N155" s="23" t="n"/>
      <c r="O155" s="21" t="n"/>
    </row>
    <row r="156">
      <c r="A156" s="19">
        <f>IF($C156="","CHƯA NHẬP",IF($B156="","HỢP LỆ","LỖI"))</f>
        <v/>
      </c>
      <c r="B156" s="19">
        <f>IF($C156="","",TEXTJOIN(" | ",TRUE,IF(COUNTIF('01_HO_SO'!$C$6:$C$505,$C156)=0,"Mã chưa có ở Bước 1",""),IF(COUNTIF($C$6:$C$505,$C156)&gt;1,"Trùng mã trong thông tin công việc",""),IF($D156="","Thiếu trạng thái làm việc",""),IF($E156="","Thiếu ngày vào công ty",IF(OR(NOT(ISNUMBER($E156)),$E156&gt;TODAY()),"Ngày vào công ty không hợp lệ","")),IF($G156="","Thiếu phòng ban",""),IF($I156="","Thiếu chức danh",""),IF(AND($M156&lt;&gt;"",COUNTIF('01_HO_SO'!$C$6:$C$505,$M156)=0),"Mã quản lý không tồn tại",""),IF(AND($M156&lt;&gt;"",$M156=$C156),"Không thể tự quản lý chính mình",""),IF(OR($N156&lt;0,$N156&gt;1000000000),"Lương cơ bản ngoài phạm vi","")))</f>
        <v/>
      </c>
      <c r="C156" s="20" t="n"/>
      <c r="D156" s="21" t="n"/>
      <c r="E156" s="22" t="n"/>
      <c r="F156" s="21" t="n"/>
      <c r="G156" s="21" t="n"/>
      <c r="H156" s="21" t="n"/>
      <c r="I156" s="21" t="n"/>
      <c r="J156" s="19">
        <f>IF($I156="","",IFERROR(INDEX(DANH_MUC!$D$4:$D$1000,MATCH($I156,DANH_MUC!$C$4:$C$1000,0)),""))</f>
        <v/>
      </c>
      <c r="K156" s="21" t="n"/>
      <c r="L156" s="21" t="n"/>
      <c r="M156" s="20" t="n"/>
      <c r="N156" s="23" t="n"/>
      <c r="O156" s="21" t="n"/>
    </row>
    <row r="157">
      <c r="A157" s="19">
        <f>IF($C157="","CHƯA NHẬP",IF($B157="","HỢP LỆ","LỖI"))</f>
        <v/>
      </c>
      <c r="B157" s="19">
        <f>IF($C157="","",TEXTJOIN(" | ",TRUE,IF(COUNTIF('01_HO_SO'!$C$6:$C$505,$C157)=0,"Mã chưa có ở Bước 1",""),IF(COUNTIF($C$6:$C$505,$C157)&gt;1,"Trùng mã trong thông tin công việc",""),IF($D157="","Thiếu trạng thái làm việc",""),IF($E157="","Thiếu ngày vào công ty",IF(OR(NOT(ISNUMBER($E157)),$E157&gt;TODAY()),"Ngày vào công ty không hợp lệ","")),IF($G157="","Thiếu phòng ban",""),IF($I157="","Thiếu chức danh",""),IF(AND($M157&lt;&gt;"",COUNTIF('01_HO_SO'!$C$6:$C$505,$M157)=0),"Mã quản lý không tồn tại",""),IF(AND($M157&lt;&gt;"",$M157=$C157),"Không thể tự quản lý chính mình",""),IF(OR($N157&lt;0,$N157&gt;1000000000),"Lương cơ bản ngoài phạm vi","")))</f>
        <v/>
      </c>
      <c r="C157" s="20" t="n"/>
      <c r="D157" s="21" t="n"/>
      <c r="E157" s="22" t="n"/>
      <c r="F157" s="21" t="n"/>
      <c r="G157" s="21" t="n"/>
      <c r="H157" s="21" t="n"/>
      <c r="I157" s="21" t="n"/>
      <c r="J157" s="19">
        <f>IF($I157="","",IFERROR(INDEX(DANH_MUC!$D$4:$D$1000,MATCH($I157,DANH_MUC!$C$4:$C$1000,0)),""))</f>
        <v/>
      </c>
      <c r="K157" s="21" t="n"/>
      <c r="L157" s="21" t="n"/>
      <c r="M157" s="20" t="n"/>
      <c r="N157" s="23" t="n"/>
      <c r="O157" s="21" t="n"/>
    </row>
    <row r="158">
      <c r="A158" s="19">
        <f>IF($C158="","CHƯA NHẬP",IF($B158="","HỢP LỆ","LỖI"))</f>
        <v/>
      </c>
      <c r="B158" s="19">
        <f>IF($C158="","",TEXTJOIN(" | ",TRUE,IF(COUNTIF('01_HO_SO'!$C$6:$C$505,$C158)=0,"Mã chưa có ở Bước 1",""),IF(COUNTIF($C$6:$C$505,$C158)&gt;1,"Trùng mã trong thông tin công việc",""),IF($D158="","Thiếu trạng thái làm việc",""),IF($E158="","Thiếu ngày vào công ty",IF(OR(NOT(ISNUMBER($E158)),$E158&gt;TODAY()),"Ngày vào công ty không hợp lệ","")),IF($G158="","Thiếu phòng ban",""),IF($I158="","Thiếu chức danh",""),IF(AND($M158&lt;&gt;"",COUNTIF('01_HO_SO'!$C$6:$C$505,$M158)=0),"Mã quản lý không tồn tại",""),IF(AND($M158&lt;&gt;"",$M158=$C158),"Không thể tự quản lý chính mình",""),IF(OR($N158&lt;0,$N158&gt;1000000000),"Lương cơ bản ngoài phạm vi","")))</f>
        <v/>
      </c>
      <c r="C158" s="20" t="n"/>
      <c r="D158" s="21" t="n"/>
      <c r="E158" s="22" t="n"/>
      <c r="F158" s="21" t="n"/>
      <c r="G158" s="21" t="n"/>
      <c r="H158" s="21" t="n"/>
      <c r="I158" s="21" t="n"/>
      <c r="J158" s="19">
        <f>IF($I158="","",IFERROR(INDEX(DANH_MUC!$D$4:$D$1000,MATCH($I158,DANH_MUC!$C$4:$C$1000,0)),""))</f>
        <v/>
      </c>
      <c r="K158" s="21" t="n"/>
      <c r="L158" s="21" t="n"/>
      <c r="M158" s="20" t="n"/>
      <c r="N158" s="23" t="n"/>
      <c r="O158" s="21" t="n"/>
    </row>
    <row r="159">
      <c r="A159" s="19">
        <f>IF($C159="","CHƯA NHẬP",IF($B159="","HỢP LỆ","LỖI"))</f>
        <v/>
      </c>
      <c r="B159" s="19">
        <f>IF($C159="","",TEXTJOIN(" | ",TRUE,IF(COUNTIF('01_HO_SO'!$C$6:$C$505,$C159)=0,"Mã chưa có ở Bước 1",""),IF(COUNTIF($C$6:$C$505,$C159)&gt;1,"Trùng mã trong thông tin công việc",""),IF($D159="","Thiếu trạng thái làm việc",""),IF($E159="","Thiếu ngày vào công ty",IF(OR(NOT(ISNUMBER($E159)),$E159&gt;TODAY()),"Ngày vào công ty không hợp lệ","")),IF($G159="","Thiếu phòng ban",""),IF($I159="","Thiếu chức danh",""),IF(AND($M159&lt;&gt;"",COUNTIF('01_HO_SO'!$C$6:$C$505,$M159)=0),"Mã quản lý không tồn tại",""),IF(AND($M159&lt;&gt;"",$M159=$C159),"Không thể tự quản lý chính mình",""),IF(OR($N159&lt;0,$N159&gt;1000000000),"Lương cơ bản ngoài phạm vi","")))</f>
        <v/>
      </c>
      <c r="C159" s="20" t="n"/>
      <c r="D159" s="21" t="n"/>
      <c r="E159" s="22" t="n"/>
      <c r="F159" s="21" t="n"/>
      <c r="G159" s="21" t="n"/>
      <c r="H159" s="21" t="n"/>
      <c r="I159" s="21" t="n"/>
      <c r="J159" s="19">
        <f>IF($I159="","",IFERROR(INDEX(DANH_MUC!$D$4:$D$1000,MATCH($I159,DANH_MUC!$C$4:$C$1000,0)),""))</f>
        <v/>
      </c>
      <c r="K159" s="21" t="n"/>
      <c r="L159" s="21" t="n"/>
      <c r="M159" s="20" t="n"/>
      <c r="N159" s="23" t="n"/>
      <c r="O159" s="21" t="n"/>
    </row>
    <row r="160">
      <c r="A160" s="19">
        <f>IF($C160="","CHƯA NHẬP",IF($B160="","HỢP LỆ","LỖI"))</f>
        <v/>
      </c>
      <c r="B160" s="19">
        <f>IF($C160="","",TEXTJOIN(" | ",TRUE,IF(COUNTIF('01_HO_SO'!$C$6:$C$505,$C160)=0,"Mã chưa có ở Bước 1",""),IF(COUNTIF($C$6:$C$505,$C160)&gt;1,"Trùng mã trong thông tin công việc",""),IF($D160="","Thiếu trạng thái làm việc",""),IF($E160="","Thiếu ngày vào công ty",IF(OR(NOT(ISNUMBER($E160)),$E160&gt;TODAY()),"Ngày vào công ty không hợp lệ","")),IF($G160="","Thiếu phòng ban",""),IF($I160="","Thiếu chức danh",""),IF(AND($M160&lt;&gt;"",COUNTIF('01_HO_SO'!$C$6:$C$505,$M160)=0),"Mã quản lý không tồn tại",""),IF(AND($M160&lt;&gt;"",$M160=$C160),"Không thể tự quản lý chính mình",""),IF(OR($N160&lt;0,$N160&gt;1000000000),"Lương cơ bản ngoài phạm vi","")))</f>
        <v/>
      </c>
      <c r="C160" s="20" t="n"/>
      <c r="D160" s="21" t="n"/>
      <c r="E160" s="22" t="n"/>
      <c r="F160" s="21" t="n"/>
      <c r="G160" s="21" t="n"/>
      <c r="H160" s="21" t="n"/>
      <c r="I160" s="21" t="n"/>
      <c r="J160" s="19">
        <f>IF($I160="","",IFERROR(INDEX(DANH_MUC!$D$4:$D$1000,MATCH($I160,DANH_MUC!$C$4:$C$1000,0)),""))</f>
        <v/>
      </c>
      <c r="K160" s="21" t="n"/>
      <c r="L160" s="21" t="n"/>
      <c r="M160" s="20" t="n"/>
      <c r="N160" s="23" t="n"/>
      <c r="O160" s="21" t="n"/>
    </row>
    <row r="161">
      <c r="A161" s="19">
        <f>IF($C161="","CHƯA NHẬP",IF($B161="","HỢP LỆ","LỖI"))</f>
        <v/>
      </c>
      <c r="B161" s="19">
        <f>IF($C161="","",TEXTJOIN(" | ",TRUE,IF(COUNTIF('01_HO_SO'!$C$6:$C$505,$C161)=0,"Mã chưa có ở Bước 1",""),IF(COUNTIF($C$6:$C$505,$C161)&gt;1,"Trùng mã trong thông tin công việc",""),IF($D161="","Thiếu trạng thái làm việc",""),IF($E161="","Thiếu ngày vào công ty",IF(OR(NOT(ISNUMBER($E161)),$E161&gt;TODAY()),"Ngày vào công ty không hợp lệ","")),IF($G161="","Thiếu phòng ban",""),IF($I161="","Thiếu chức danh",""),IF(AND($M161&lt;&gt;"",COUNTIF('01_HO_SO'!$C$6:$C$505,$M161)=0),"Mã quản lý không tồn tại",""),IF(AND($M161&lt;&gt;"",$M161=$C161),"Không thể tự quản lý chính mình",""),IF(OR($N161&lt;0,$N161&gt;1000000000),"Lương cơ bản ngoài phạm vi","")))</f>
        <v/>
      </c>
      <c r="C161" s="20" t="n"/>
      <c r="D161" s="21" t="n"/>
      <c r="E161" s="22" t="n"/>
      <c r="F161" s="21" t="n"/>
      <c r="G161" s="21" t="n"/>
      <c r="H161" s="21" t="n"/>
      <c r="I161" s="21" t="n"/>
      <c r="J161" s="19">
        <f>IF($I161="","",IFERROR(INDEX(DANH_MUC!$D$4:$D$1000,MATCH($I161,DANH_MUC!$C$4:$C$1000,0)),""))</f>
        <v/>
      </c>
      <c r="K161" s="21" t="n"/>
      <c r="L161" s="21" t="n"/>
      <c r="M161" s="20" t="n"/>
      <c r="N161" s="23" t="n"/>
      <c r="O161" s="21" t="n"/>
    </row>
    <row r="162">
      <c r="A162" s="19">
        <f>IF($C162="","CHƯA NHẬP",IF($B162="","HỢP LỆ","LỖI"))</f>
        <v/>
      </c>
      <c r="B162" s="19">
        <f>IF($C162="","",TEXTJOIN(" | ",TRUE,IF(COUNTIF('01_HO_SO'!$C$6:$C$505,$C162)=0,"Mã chưa có ở Bước 1",""),IF(COUNTIF($C$6:$C$505,$C162)&gt;1,"Trùng mã trong thông tin công việc",""),IF($D162="","Thiếu trạng thái làm việc",""),IF($E162="","Thiếu ngày vào công ty",IF(OR(NOT(ISNUMBER($E162)),$E162&gt;TODAY()),"Ngày vào công ty không hợp lệ","")),IF($G162="","Thiếu phòng ban",""),IF($I162="","Thiếu chức danh",""),IF(AND($M162&lt;&gt;"",COUNTIF('01_HO_SO'!$C$6:$C$505,$M162)=0),"Mã quản lý không tồn tại",""),IF(AND($M162&lt;&gt;"",$M162=$C162),"Không thể tự quản lý chính mình",""),IF(OR($N162&lt;0,$N162&gt;1000000000),"Lương cơ bản ngoài phạm vi","")))</f>
        <v/>
      </c>
      <c r="C162" s="20" t="n"/>
      <c r="D162" s="21" t="n"/>
      <c r="E162" s="22" t="n"/>
      <c r="F162" s="21" t="n"/>
      <c r="G162" s="21" t="n"/>
      <c r="H162" s="21" t="n"/>
      <c r="I162" s="21" t="n"/>
      <c r="J162" s="19">
        <f>IF($I162="","",IFERROR(INDEX(DANH_MUC!$D$4:$D$1000,MATCH($I162,DANH_MUC!$C$4:$C$1000,0)),""))</f>
        <v/>
      </c>
      <c r="K162" s="21" t="n"/>
      <c r="L162" s="21" t="n"/>
      <c r="M162" s="20" t="n"/>
      <c r="N162" s="23" t="n"/>
      <c r="O162" s="21" t="n"/>
    </row>
    <row r="163">
      <c r="A163" s="19">
        <f>IF($C163="","CHƯA NHẬP",IF($B163="","HỢP LỆ","LỖI"))</f>
        <v/>
      </c>
      <c r="B163" s="19">
        <f>IF($C163="","",TEXTJOIN(" | ",TRUE,IF(COUNTIF('01_HO_SO'!$C$6:$C$505,$C163)=0,"Mã chưa có ở Bước 1",""),IF(COUNTIF($C$6:$C$505,$C163)&gt;1,"Trùng mã trong thông tin công việc",""),IF($D163="","Thiếu trạng thái làm việc",""),IF($E163="","Thiếu ngày vào công ty",IF(OR(NOT(ISNUMBER($E163)),$E163&gt;TODAY()),"Ngày vào công ty không hợp lệ","")),IF($G163="","Thiếu phòng ban",""),IF($I163="","Thiếu chức danh",""),IF(AND($M163&lt;&gt;"",COUNTIF('01_HO_SO'!$C$6:$C$505,$M163)=0),"Mã quản lý không tồn tại",""),IF(AND($M163&lt;&gt;"",$M163=$C163),"Không thể tự quản lý chính mình",""),IF(OR($N163&lt;0,$N163&gt;1000000000),"Lương cơ bản ngoài phạm vi","")))</f>
        <v/>
      </c>
      <c r="C163" s="20" t="n"/>
      <c r="D163" s="21" t="n"/>
      <c r="E163" s="22" t="n"/>
      <c r="F163" s="21" t="n"/>
      <c r="G163" s="21" t="n"/>
      <c r="H163" s="21" t="n"/>
      <c r="I163" s="21" t="n"/>
      <c r="J163" s="19">
        <f>IF($I163="","",IFERROR(INDEX(DANH_MUC!$D$4:$D$1000,MATCH($I163,DANH_MUC!$C$4:$C$1000,0)),""))</f>
        <v/>
      </c>
      <c r="K163" s="21" t="n"/>
      <c r="L163" s="21" t="n"/>
      <c r="M163" s="20" t="n"/>
      <c r="N163" s="23" t="n"/>
      <c r="O163" s="21" t="n"/>
    </row>
    <row r="164">
      <c r="A164" s="19">
        <f>IF($C164="","CHƯA NHẬP",IF($B164="","HỢP LỆ","LỖI"))</f>
        <v/>
      </c>
      <c r="B164" s="19">
        <f>IF($C164="","",TEXTJOIN(" | ",TRUE,IF(COUNTIF('01_HO_SO'!$C$6:$C$505,$C164)=0,"Mã chưa có ở Bước 1",""),IF(COUNTIF($C$6:$C$505,$C164)&gt;1,"Trùng mã trong thông tin công việc",""),IF($D164="","Thiếu trạng thái làm việc",""),IF($E164="","Thiếu ngày vào công ty",IF(OR(NOT(ISNUMBER($E164)),$E164&gt;TODAY()),"Ngày vào công ty không hợp lệ","")),IF($G164="","Thiếu phòng ban",""),IF($I164="","Thiếu chức danh",""),IF(AND($M164&lt;&gt;"",COUNTIF('01_HO_SO'!$C$6:$C$505,$M164)=0),"Mã quản lý không tồn tại",""),IF(AND($M164&lt;&gt;"",$M164=$C164),"Không thể tự quản lý chính mình",""),IF(OR($N164&lt;0,$N164&gt;1000000000),"Lương cơ bản ngoài phạm vi","")))</f>
        <v/>
      </c>
      <c r="C164" s="20" t="n"/>
      <c r="D164" s="21" t="n"/>
      <c r="E164" s="22" t="n"/>
      <c r="F164" s="21" t="n"/>
      <c r="G164" s="21" t="n"/>
      <c r="H164" s="21" t="n"/>
      <c r="I164" s="21" t="n"/>
      <c r="J164" s="19">
        <f>IF($I164="","",IFERROR(INDEX(DANH_MUC!$D$4:$D$1000,MATCH($I164,DANH_MUC!$C$4:$C$1000,0)),""))</f>
        <v/>
      </c>
      <c r="K164" s="21" t="n"/>
      <c r="L164" s="21" t="n"/>
      <c r="M164" s="20" t="n"/>
      <c r="N164" s="23" t="n"/>
      <c r="O164" s="21" t="n"/>
    </row>
    <row r="165">
      <c r="A165" s="19">
        <f>IF($C165="","CHƯA NHẬP",IF($B165="","HỢP LỆ","LỖI"))</f>
        <v/>
      </c>
      <c r="B165" s="19">
        <f>IF($C165="","",TEXTJOIN(" | ",TRUE,IF(COUNTIF('01_HO_SO'!$C$6:$C$505,$C165)=0,"Mã chưa có ở Bước 1",""),IF(COUNTIF($C$6:$C$505,$C165)&gt;1,"Trùng mã trong thông tin công việc",""),IF($D165="","Thiếu trạng thái làm việc",""),IF($E165="","Thiếu ngày vào công ty",IF(OR(NOT(ISNUMBER($E165)),$E165&gt;TODAY()),"Ngày vào công ty không hợp lệ","")),IF($G165="","Thiếu phòng ban",""),IF($I165="","Thiếu chức danh",""),IF(AND($M165&lt;&gt;"",COUNTIF('01_HO_SO'!$C$6:$C$505,$M165)=0),"Mã quản lý không tồn tại",""),IF(AND($M165&lt;&gt;"",$M165=$C165),"Không thể tự quản lý chính mình",""),IF(OR($N165&lt;0,$N165&gt;1000000000),"Lương cơ bản ngoài phạm vi","")))</f>
        <v/>
      </c>
      <c r="C165" s="20" t="n"/>
      <c r="D165" s="21" t="n"/>
      <c r="E165" s="22" t="n"/>
      <c r="F165" s="21" t="n"/>
      <c r="G165" s="21" t="n"/>
      <c r="H165" s="21" t="n"/>
      <c r="I165" s="21" t="n"/>
      <c r="J165" s="19">
        <f>IF($I165="","",IFERROR(INDEX(DANH_MUC!$D$4:$D$1000,MATCH($I165,DANH_MUC!$C$4:$C$1000,0)),""))</f>
        <v/>
      </c>
      <c r="K165" s="21" t="n"/>
      <c r="L165" s="21" t="n"/>
      <c r="M165" s="20" t="n"/>
      <c r="N165" s="23" t="n"/>
      <c r="O165" s="21" t="n"/>
    </row>
    <row r="166">
      <c r="A166" s="19">
        <f>IF($C166="","CHƯA NHẬP",IF($B166="","HỢP LỆ","LỖI"))</f>
        <v/>
      </c>
      <c r="B166" s="19">
        <f>IF($C166="","",TEXTJOIN(" | ",TRUE,IF(COUNTIF('01_HO_SO'!$C$6:$C$505,$C166)=0,"Mã chưa có ở Bước 1",""),IF(COUNTIF($C$6:$C$505,$C166)&gt;1,"Trùng mã trong thông tin công việc",""),IF($D166="","Thiếu trạng thái làm việc",""),IF($E166="","Thiếu ngày vào công ty",IF(OR(NOT(ISNUMBER($E166)),$E166&gt;TODAY()),"Ngày vào công ty không hợp lệ","")),IF($G166="","Thiếu phòng ban",""),IF($I166="","Thiếu chức danh",""),IF(AND($M166&lt;&gt;"",COUNTIF('01_HO_SO'!$C$6:$C$505,$M166)=0),"Mã quản lý không tồn tại",""),IF(AND($M166&lt;&gt;"",$M166=$C166),"Không thể tự quản lý chính mình",""),IF(OR($N166&lt;0,$N166&gt;1000000000),"Lương cơ bản ngoài phạm vi","")))</f>
        <v/>
      </c>
      <c r="C166" s="20" t="n"/>
      <c r="D166" s="21" t="n"/>
      <c r="E166" s="22" t="n"/>
      <c r="F166" s="21" t="n"/>
      <c r="G166" s="21" t="n"/>
      <c r="H166" s="21" t="n"/>
      <c r="I166" s="21" t="n"/>
      <c r="J166" s="19">
        <f>IF($I166="","",IFERROR(INDEX(DANH_MUC!$D$4:$D$1000,MATCH($I166,DANH_MUC!$C$4:$C$1000,0)),""))</f>
        <v/>
      </c>
      <c r="K166" s="21" t="n"/>
      <c r="L166" s="21" t="n"/>
      <c r="M166" s="20" t="n"/>
      <c r="N166" s="23" t="n"/>
      <c r="O166" s="21" t="n"/>
    </row>
    <row r="167">
      <c r="A167" s="19">
        <f>IF($C167="","CHƯA NHẬP",IF($B167="","HỢP LỆ","LỖI"))</f>
        <v/>
      </c>
      <c r="B167" s="19">
        <f>IF($C167="","",TEXTJOIN(" | ",TRUE,IF(COUNTIF('01_HO_SO'!$C$6:$C$505,$C167)=0,"Mã chưa có ở Bước 1",""),IF(COUNTIF($C$6:$C$505,$C167)&gt;1,"Trùng mã trong thông tin công việc",""),IF($D167="","Thiếu trạng thái làm việc",""),IF($E167="","Thiếu ngày vào công ty",IF(OR(NOT(ISNUMBER($E167)),$E167&gt;TODAY()),"Ngày vào công ty không hợp lệ","")),IF($G167="","Thiếu phòng ban",""),IF($I167="","Thiếu chức danh",""),IF(AND($M167&lt;&gt;"",COUNTIF('01_HO_SO'!$C$6:$C$505,$M167)=0),"Mã quản lý không tồn tại",""),IF(AND($M167&lt;&gt;"",$M167=$C167),"Không thể tự quản lý chính mình",""),IF(OR($N167&lt;0,$N167&gt;1000000000),"Lương cơ bản ngoài phạm vi","")))</f>
        <v/>
      </c>
      <c r="C167" s="20" t="n"/>
      <c r="D167" s="21" t="n"/>
      <c r="E167" s="22" t="n"/>
      <c r="F167" s="21" t="n"/>
      <c r="G167" s="21" t="n"/>
      <c r="H167" s="21" t="n"/>
      <c r="I167" s="21" t="n"/>
      <c r="J167" s="19">
        <f>IF($I167="","",IFERROR(INDEX(DANH_MUC!$D$4:$D$1000,MATCH($I167,DANH_MUC!$C$4:$C$1000,0)),""))</f>
        <v/>
      </c>
      <c r="K167" s="21" t="n"/>
      <c r="L167" s="21" t="n"/>
      <c r="M167" s="20" t="n"/>
      <c r="N167" s="23" t="n"/>
      <c r="O167" s="21" t="n"/>
    </row>
    <row r="168">
      <c r="A168" s="19">
        <f>IF($C168="","CHƯA NHẬP",IF($B168="","HỢP LỆ","LỖI"))</f>
        <v/>
      </c>
      <c r="B168" s="19">
        <f>IF($C168="","",TEXTJOIN(" | ",TRUE,IF(COUNTIF('01_HO_SO'!$C$6:$C$505,$C168)=0,"Mã chưa có ở Bước 1",""),IF(COUNTIF($C$6:$C$505,$C168)&gt;1,"Trùng mã trong thông tin công việc",""),IF($D168="","Thiếu trạng thái làm việc",""),IF($E168="","Thiếu ngày vào công ty",IF(OR(NOT(ISNUMBER($E168)),$E168&gt;TODAY()),"Ngày vào công ty không hợp lệ","")),IF($G168="","Thiếu phòng ban",""),IF($I168="","Thiếu chức danh",""),IF(AND($M168&lt;&gt;"",COUNTIF('01_HO_SO'!$C$6:$C$505,$M168)=0),"Mã quản lý không tồn tại",""),IF(AND($M168&lt;&gt;"",$M168=$C168),"Không thể tự quản lý chính mình",""),IF(OR($N168&lt;0,$N168&gt;1000000000),"Lương cơ bản ngoài phạm vi","")))</f>
        <v/>
      </c>
      <c r="C168" s="20" t="n"/>
      <c r="D168" s="21" t="n"/>
      <c r="E168" s="22" t="n"/>
      <c r="F168" s="21" t="n"/>
      <c r="G168" s="21" t="n"/>
      <c r="H168" s="21" t="n"/>
      <c r="I168" s="21" t="n"/>
      <c r="J168" s="19">
        <f>IF($I168="","",IFERROR(INDEX(DANH_MUC!$D$4:$D$1000,MATCH($I168,DANH_MUC!$C$4:$C$1000,0)),""))</f>
        <v/>
      </c>
      <c r="K168" s="21" t="n"/>
      <c r="L168" s="21" t="n"/>
      <c r="M168" s="20" t="n"/>
      <c r="N168" s="23" t="n"/>
      <c r="O168" s="21" t="n"/>
    </row>
    <row r="169">
      <c r="A169" s="19">
        <f>IF($C169="","CHƯA NHẬP",IF($B169="","HỢP LỆ","LỖI"))</f>
        <v/>
      </c>
      <c r="B169" s="19">
        <f>IF($C169="","",TEXTJOIN(" | ",TRUE,IF(COUNTIF('01_HO_SO'!$C$6:$C$505,$C169)=0,"Mã chưa có ở Bước 1",""),IF(COUNTIF($C$6:$C$505,$C169)&gt;1,"Trùng mã trong thông tin công việc",""),IF($D169="","Thiếu trạng thái làm việc",""),IF($E169="","Thiếu ngày vào công ty",IF(OR(NOT(ISNUMBER($E169)),$E169&gt;TODAY()),"Ngày vào công ty không hợp lệ","")),IF($G169="","Thiếu phòng ban",""),IF($I169="","Thiếu chức danh",""),IF(AND($M169&lt;&gt;"",COUNTIF('01_HO_SO'!$C$6:$C$505,$M169)=0),"Mã quản lý không tồn tại",""),IF(AND($M169&lt;&gt;"",$M169=$C169),"Không thể tự quản lý chính mình",""),IF(OR($N169&lt;0,$N169&gt;1000000000),"Lương cơ bản ngoài phạm vi","")))</f>
        <v/>
      </c>
      <c r="C169" s="20" t="n"/>
      <c r="D169" s="21" t="n"/>
      <c r="E169" s="22" t="n"/>
      <c r="F169" s="21" t="n"/>
      <c r="G169" s="21" t="n"/>
      <c r="H169" s="21" t="n"/>
      <c r="I169" s="21" t="n"/>
      <c r="J169" s="19">
        <f>IF($I169="","",IFERROR(INDEX(DANH_MUC!$D$4:$D$1000,MATCH($I169,DANH_MUC!$C$4:$C$1000,0)),""))</f>
        <v/>
      </c>
      <c r="K169" s="21" t="n"/>
      <c r="L169" s="21" t="n"/>
      <c r="M169" s="20" t="n"/>
      <c r="N169" s="23" t="n"/>
      <c r="O169" s="21" t="n"/>
    </row>
    <row r="170">
      <c r="A170" s="19">
        <f>IF($C170="","CHƯA NHẬP",IF($B170="","HỢP LỆ","LỖI"))</f>
        <v/>
      </c>
      <c r="B170" s="19">
        <f>IF($C170="","",TEXTJOIN(" | ",TRUE,IF(COUNTIF('01_HO_SO'!$C$6:$C$505,$C170)=0,"Mã chưa có ở Bước 1",""),IF(COUNTIF($C$6:$C$505,$C170)&gt;1,"Trùng mã trong thông tin công việc",""),IF($D170="","Thiếu trạng thái làm việc",""),IF($E170="","Thiếu ngày vào công ty",IF(OR(NOT(ISNUMBER($E170)),$E170&gt;TODAY()),"Ngày vào công ty không hợp lệ","")),IF($G170="","Thiếu phòng ban",""),IF($I170="","Thiếu chức danh",""),IF(AND($M170&lt;&gt;"",COUNTIF('01_HO_SO'!$C$6:$C$505,$M170)=0),"Mã quản lý không tồn tại",""),IF(AND($M170&lt;&gt;"",$M170=$C170),"Không thể tự quản lý chính mình",""),IF(OR($N170&lt;0,$N170&gt;1000000000),"Lương cơ bản ngoài phạm vi","")))</f>
        <v/>
      </c>
      <c r="C170" s="20" t="n"/>
      <c r="D170" s="21" t="n"/>
      <c r="E170" s="22" t="n"/>
      <c r="F170" s="21" t="n"/>
      <c r="G170" s="21" t="n"/>
      <c r="H170" s="21" t="n"/>
      <c r="I170" s="21" t="n"/>
      <c r="J170" s="19">
        <f>IF($I170="","",IFERROR(INDEX(DANH_MUC!$D$4:$D$1000,MATCH($I170,DANH_MUC!$C$4:$C$1000,0)),""))</f>
        <v/>
      </c>
      <c r="K170" s="21" t="n"/>
      <c r="L170" s="21" t="n"/>
      <c r="M170" s="20" t="n"/>
      <c r="N170" s="23" t="n"/>
      <c r="O170" s="21" t="n"/>
    </row>
    <row r="171">
      <c r="A171" s="19">
        <f>IF($C171="","CHƯA NHẬP",IF($B171="","HỢP LỆ","LỖI"))</f>
        <v/>
      </c>
      <c r="B171" s="19">
        <f>IF($C171="","",TEXTJOIN(" | ",TRUE,IF(COUNTIF('01_HO_SO'!$C$6:$C$505,$C171)=0,"Mã chưa có ở Bước 1",""),IF(COUNTIF($C$6:$C$505,$C171)&gt;1,"Trùng mã trong thông tin công việc",""),IF($D171="","Thiếu trạng thái làm việc",""),IF($E171="","Thiếu ngày vào công ty",IF(OR(NOT(ISNUMBER($E171)),$E171&gt;TODAY()),"Ngày vào công ty không hợp lệ","")),IF($G171="","Thiếu phòng ban",""),IF($I171="","Thiếu chức danh",""),IF(AND($M171&lt;&gt;"",COUNTIF('01_HO_SO'!$C$6:$C$505,$M171)=0),"Mã quản lý không tồn tại",""),IF(AND($M171&lt;&gt;"",$M171=$C171),"Không thể tự quản lý chính mình",""),IF(OR($N171&lt;0,$N171&gt;1000000000),"Lương cơ bản ngoài phạm vi","")))</f>
        <v/>
      </c>
      <c r="C171" s="20" t="n"/>
      <c r="D171" s="21" t="n"/>
      <c r="E171" s="22" t="n"/>
      <c r="F171" s="21" t="n"/>
      <c r="G171" s="21" t="n"/>
      <c r="H171" s="21" t="n"/>
      <c r="I171" s="21" t="n"/>
      <c r="J171" s="19">
        <f>IF($I171="","",IFERROR(INDEX(DANH_MUC!$D$4:$D$1000,MATCH($I171,DANH_MUC!$C$4:$C$1000,0)),""))</f>
        <v/>
      </c>
      <c r="K171" s="21" t="n"/>
      <c r="L171" s="21" t="n"/>
      <c r="M171" s="20" t="n"/>
      <c r="N171" s="23" t="n"/>
      <c r="O171" s="21" t="n"/>
    </row>
    <row r="172">
      <c r="A172" s="19">
        <f>IF($C172="","CHƯA NHẬP",IF($B172="","HỢP LỆ","LỖI"))</f>
        <v/>
      </c>
      <c r="B172" s="19">
        <f>IF($C172="","",TEXTJOIN(" | ",TRUE,IF(COUNTIF('01_HO_SO'!$C$6:$C$505,$C172)=0,"Mã chưa có ở Bước 1",""),IF(COUNTIF($C$6:$C$505,$C172)&gt;1,"Trùng mã trong thông tin công việc",""),IF($D172="","Thiếu trạng thái làm việc",""),IF($E172="","Thiếu ngày vào công ty",IF(OR(NOT(ISNUMBER($E172)),$E172&gt;TODAY()),"Ngày vào công ty không hợp lệ","")),IF($G172="","Thiếu phòng ban",""),IF($I172="","Thiếu chức danh",""),IF(AND($M172&lt;&gt;"",COUNTIF('01_HO_SO'!$C$6:$C$505,$M172)=0),"Mã quản lý không tồn tại",""),IF(AND($M172&lt;&gt;"",$M172=$C172),"Không thể tự quản lý chính mình",""),IF(OR($N172&lt;0,$N172&gt;1000000000),"Lương cơ bản ngoài phạm vi","")))</f>
        <v/>
      </c>
      <c r="C172" s="20" t="n"/>
      <c r="D172" s="21" t="n"/>
      <c r="E172" s="22" t="n"/>
      <c r="F172" s="21" t="n"/>
      <c r="G172" s="21" t="n"/>
      <c r="H172" s="21" t="n"/>
      <c r="I172" s="21" t="n"/>
      <c r="J172" s="19">
        <f>IF($I172="","",IFERROR(INDEX(DANH_MUC!$D$4:$D$1000,MATCH($I172,DANH_MUC!$C$4:$C$1000,0)),""))</f>
        <v/>
      </c>
      <c r="K172" s="21" t="n"/>
      <c r="L172" s="21" t="n"/>
      <c r="M172" s="20" t="n"/>
      <c r="N172" s="23" t="n"/>
      <c r="O172" s="21" t="n"/>
    </row>
    <row r="173">
      <c r="A173" s="19">
        <f>IF($C173="","CHƯA NHẬP",IF($B173="","HỢP LỆ","LỖI"))</f>
        <v/>
      </c>
      <c r="B173" s="19">
        <f>IF($C173="","",TEXTJOIN(" | ",TRUE,IF(COUNTIF('01_HO_SO'!$C$6:$C$505,$C173)=0,"Mã chưa có ở Bước 1",""),IF(COUNTIF($C$6:$C$505,$C173)&gt;1,"Trùng mã trong thông tin công việc",""),IF($D173="","Thiếu trạng thái làm việc",""),IF($E173="","Thiếu ngày vào công ty",IF(OR(NOT(ISNUMBER($E173)),$E173&gt;TODAY()),"Ngày vào công ty không hợp lệ","")),IF($G173="","Thiếu phòng ban",""),IF($I173="","Thiếu chức danh",""),IF(AND($M173&lt;&gt;"",COUNTIF('01_HO_SO'!$C$6:$C$505,$M173)=0),"Mã quản lý không tồn tại",""),IF(AND($M173&lt;&gt;"",$M173=$C173),"Không thể tự quản lý chính mình",""),IF(OR($N173&lt;0,$N173&gt;1000000000),"Lương cơ bản ngoài phạm vi","")))</f>
        <v/>
      </c>
      <c r="C173" s="20" t="n"/>
      <c r="D173" s="21" t="n"/>
      <c r="E173" s="22" t="n"/>
      <c r="F173" s="21" t="n"/>
      <c r="G173" s="21" t="n"/>
      <c r="H173" s="21" t="n"/>
      <c r="I173" s="21" t="n"/>
      <c r="J173" s="19">
        <f>IF($I173="","",IFERROR(INDEX(DANH_MUC!$D$4:$D$1000,MATCH($I173,DANH_MUC!$C$4:$C$1000,0)),""))</f>
        <v/>
      </c>
      <c r="K173" s="21" t="n"/>
      <c r="L173" s="21" t="n"/>
      <c r="M173" s="20" t="n"/>
      <c r="N173" s="23" t="n"/>
      <c r="O173" s="21" t="n"/>
    </row>
    <row r="174">
      <c r="A174" s="19">
        <f>IF($C174="","CHƯA NHẬP",IF($B174="","HỢP LỆ","LỖI"))</f>
        <v/>
      </c>
      <c r="B174" s="19">
        <f>IF($C174="","",TEXTJOIN(" | ",TRUE,IF(COUNTIF('01_HO_SO'!$C$6:$C$505,$C174)=0,"Mã chưa có ở Bước 1",""),IF(COUNTIF($C$6:$C$505,$C174)&gt;1,"Trùng mã trong thông tin công việc",""),IF($D174="","Thiếu trạng thái làm việc",""),IF($E174="","Thiếu ngày vào công ty",IF(OR(NOT(ISNUMBER($E174)),$E174&gt;TODAY()),"Ngày vào công ty không hợp lệ","")),IF($G174="","Thiếu phòng ban",""),IF($I174="","Thiếu chức danh",""),IF(AND($M174&lt;&gt;"",COUNTIF('01_HO_SO'!$C$6:$C$505,$M174)=0),"Mã quản lý không tồn tại",""),IF(AND($M174&lt;&gt;"",$M174=$C174),"Không thể tự quản lý chính mình",""),IF(OR($N174&lt;0,$N174&gt;1000000000),"Lương cơ bản ngoài phạm vi","")))</f>
        <v/>
      </c>
      <c r="C174" s="20" t="n"/>
      <c r="D174" s="21" t="n"/>
      <c r="E174" s="22" t="n"/>
      <c r="F174" s="21" t="n"/>
      <c r="G174" s="21" t="n"/>
      <c r="H174" s="21" t="n"/>
      <c r="I174" s="21" t="n"/>
      <c r="J174" s="19">
        <f>IF($I174="","",IFERROR(INDEX(DANH_MUC!$D$4:$D$1000,MATCH($I174,DANH_MUC!$C$4:$C$1000,0)),""))</f>
        <v/>
      </c>
      <c r="K174" s="21" t="n"/>
      <c r="L174" s="21" t="n"/>
      <c r="M174" s="20" t="n"/>
      <c r="N174" s="23" t="n"/>
      <c r="O174" s="21" t="n"/>
    </row>
    <row r="175">
      <c r="A175" s="19">
        <f>IF($C175="","CHƯA NHẬP",IF($B175="","HỢP LỆ","LỖI"))</f>
        <v/>
      </c>
      <c r="B175" s="19">
        <f>IF($C175="","",TEXTJOIN(" | ",TRUE,IF(COUNTIF('01_HO_SO'!$C$6:$C$505,$C175)=0,"Mã chưa có ở Bước 1",""),IF(COUNTIF($C$6:$C$505,$C175)&gt;1,"Trùng mã trong thông tin công việc",""),IF($D175="","Thiếu trạng thái làm việc",""),IF($E175="","Thiếu ngày vào công ty",IF(OR(NOT(ISNUMBER($E175)),$E175&gt;TODAY()),"Ngày vào công ty không hợp lệ","")),IF($G175="","Thiếu phòng ban",""),IF($I175="","Thiếu chức danh",""),IF(AND($M175&lt;&gt;"",COUNTIF('01_HO_SO'!$C$6:$C$505,$M175)=0),"Mã quản lý không tồn tại",""),IF(AND($M175&lt;&gt;"",$M175=$C175),"Không thể tự quản lý chính mình",""),IF(OR($N175&lt;0,$N175&gt;1000000000),"Lương cơ bản ngoài phạm vi","")))</f>
        <v/>
      </c>
      <c r="C175" s="20" t="n"/>
      <c r="D175" s="21" t="n"/>
      <c r="E175" s="22" t="n"/>
      <c r="F175" s="21" t="n"/>
      <c r="G175" s="21" t="n"/>
      <c r="H175" s="21" t="n"/>
      <c r="I175" s="21" t="n"/>
      <c r="J175" s="19">
        <f>IF($I175="","",IFERROR(INDEX(DANH_MUC!$D$4:$D$1000,MATCH($I175,DANH_MUC!$C$4:$C$1000,0)),""))</f>
        <v/>
      </c>
      <c r="K175" s="21" t="n"/>
      <c r="L175" s="21" t="n"/>
      <c r="M175" s="20" t="n"/>
      <c r="N175" s="23" t="n"/>
      <c r="O175" s="21" t="n"/>
    </row>
    <row r="176">
      <c r="A176" s="19">
        <f>IF($C176="","CHƯA NHẬP",IF($B176="","HỢP LỆ","LỖI"))</f>
        <v/>
      </c>
      <c r="B176" s="19">
        <f>IF($C176="","",TEXTJOIN(" | ",TRUE,IF(COUNTIF('01_HO_SO'!$C$6:$C$505,$C176)=0,"Mã chưa có ở Bước 1",""),IF(COUNTIF($C$6:$C$505,$C176)&gt;1,"Trùng mã trong thông tin công việc",""),IF($D176="","Thiếu trạng thái làm việc",""),IF($E176="","Thiếu ngày vào công ty",IF(OR(NOT(ISNUMBER($E176)),$E176&gt;TODAY()),"Ngày vào công ty không hợp lệ","")),IF($G176="","Thiếu phòng ban",""),IF($I176="","Thiếu chức danh",""),IF(AND($M176&lt;&gt;"",COUNTIF('01_HO_SO'!$C$6:$C$505,$M176)=0),"Mã quản lý không tồn tại",""),IF(AND($M176&lt;&gt;"",$M176=$C176),"Không thể tự quản lý chính mình",""),IF(OR($N176&lt;0,$N176&gt;1000000000),"Lương cơ bản ngoài phạm vi","")))</f>
        <v/>
      </c>
      <c r="C176" s="20" t="n"/>
      <c r="D176" s="21" t="n"/>
      <c r="E176" s="22" t="n"/>
      <c r="F176" s="21" t="n"/>
      <c r="G176" s="21" t="n"/>
      <c r="H176" s="21" t="n"/>
      <c r="I176" s="21" t="n"/>
      <c r="J176" s="19">
        <f>IF($I176="","",IFERROR(INDEX(DANH_MUC!$D$4:$D$1000,MATCH($I176,DANH_MUC!$C$4:$C$1000,0)),""))</f>
        <v/>
      </c>
      <c r="K176" s="21" t="n"/>
      <c r="L176" s="21" t="n"/>
      <c r="M176" s="20" t="n"/>
      <c r="N176" s="23" t="n"/>
      <c r="O176" s="21" t="n"/>
    </row>
    <row r="177">
      <c r="A177" s="19">
        <f>IF($C177="","CHƯA NHẬP",IF($B177="","HỢP LỆ","LỖI"))</f>
        <v/>
      </c>
      <c r="B177" s="19">
        <f>IF($C177="","",TEXTJOIN(" | ",TRUE,IF(COUNTIF('01_HO_SO'!$C$6:$C$505,$C177)=0,"Mã chưa có ở Bước 1",""),IF(COUNTIF($C$6:$C$505,$C177)&gt;1,"Trùng mã trong thông tin công việc",""),IF($D177="","Thiếu trạng thái làm việc",""),IF($E177="","Thiếu ngày vào công ty",IF(OR(NOT(ISNUMBER($E177)),$E177&gt;TODAY()),"Ngày vào công ty không hợp lệ","")),IF($G177="","Thiếu phòng ban",""),IF($I177="","Thiếu chức danh",""),IF(AND($M177&lt;&gt;"",COUNTIF('01_HO_SO'!$C$6:$C$505,$M177)=0),"Mã quản lý không tồn tại",""),IF(AND($M177&lt;&gt;"",$M177=$C177),"Không thể tự quản lý chính mình",""),IF(OR($N177&lt;0,$N177&gt;1000000000),"Lương cơ bản ngoài phạm vi","")))</f>
        <v/>
      </c>
      <c r="C177" s="20" t="n"/>
      <c r="D177" s="21" t="n"/>
      <c r="E177" s="22" t="n"/>
      <c r="F177" s="21" t="n"/>
      <c r="G177" s="21" t="n"/>
      <c r="H177" s="21" t="n"/>
      <c r="I177" s="21" t="n"/>
      <c r="J177" s="19">
        <f>IF($I177="","",IFERROR(INDEX(DANH_MUC!$D$4:$D$1000,MATCH($I177,DANH_MUC!$C$4:$C$1000,0)),""))</f>
        <v/>
      </c>
      <c r="K177" s="21" t="n"/>
      <c r="L177" s="21" t="n"/>
      <c r="M177" s="20" t="n"/>
      <c r="N177" s="23" t="n"/>
      <c r="O177" s="21" t="n"/>
    </row>
    <row r="178">
      <c r="A178" s="19">
        <f>IF($C178="","CHƯA NHẬP",IF($B178="","HỢP LỆ","LỖI"))</f>
        <v/>
      </c>
      <c r="B178" s="19">
        <f>IF($C178="","",TEXTJOIN(" | ",TRUE,IF(COUNTIF('01_HO_SO'!$C$6:$C$505,$C178)=0,"Mã chưa có ở Bước 1",""),IF(COUNTIF($C$6:$C$505,$C178)&gt;1,"Trùng mã trong thông tin công việc",""),IF($D178="","Thiếu trạng thái làm việc",""),IF($E178="","Thiếu ngày vào công ty",IF(OR(NOT(ISNUMBER($E178)),$E178&gt;TODAY()),"Ngày vào công ty không hợp lệ","")),IF($G178="","Thiếu phòng ban",""),IF($I178="","Thiếu chức danh",""),IF(AND($M178&lt;&gt;"",COUNTIF('01_HO_SO'!$C$6:$C$505,$M178)=0),"Mã quản lý không tồn tại",""),IF(AND($M178&lt;&gt;"",$M178=$C178),"Không thể tự quản lý chính mình",""),IF(OR($N178&lt;0,$N178&gt;1000000000),"Lương cơ bản ngoài phạm vi","")))</f>
        <v/>
      </c>
      <c r="C178" s="20" t="n"/>
      <c r="D178" s="21" t="n"/>
      <c r="E178" s="22" t="n"/>
      <c r="F178" s="21" t="n"/>
      <c r="G178" s="21" t="n"/>
      <c r="H178" s="21" t="n"/>
      <c r="I178" s="21" t="n"/>
      <c r="J178" s="19">
        <f>IF($I178="","",IFERROR(INDEX(DANH_MUC!$D$4:$D$1000,MATCH($I178,DANH_MUC!$C$4:$C$1000,0)),""))</f>
        <v/>
      </c>
      <c r="K178" s="21" t="n"/>
      <c r="L178" s="21" t="n"/>
      <c r="M178" s="20" t="n"/>
      <c r="N178" s="23" t="n"/>
      <c r="O178" s="21" t="n"/>
    </row>
    <row r="179">
      <c r="A179" s="19">
        <f>IF($C179="","CHƯA NHẬP",IF($B179="","HỢP LỆ","LỖI"))</f>
        <v/>
      </c>
      <c r="B179" s="19">
        <f>IF($C179="","",TEXTJOIN(" | ",TRUE,IF(COUNTIF('01_HO_SO'!$C$6:$C$505,$C179)=0,"Mã chưa có ở Bước 1",""),IF(COUNTIF($C$6:$C$505,$C179)&gt;1,"Trùng mã trong thông tin công việc",""),IF($D179="","Thiếu trạng thái làm việc",""),IF($E179="","Thiếu ngày vào công ty",IF(OR(NOT(ISNUMBER($E179)),$E179&gt;TODAY()),"Ngày vào công ty không hợp lệ","")),IF($G179="","Thiếu phòng ban",""),IF($I179="","Thiếu chức danh",""),IF(AND($M179&lt;&gt;"",COUNTIF('01_HO_SO'!$C$6:$C$505,$M179)=0),"Mã quản lý không tồn tại",""),IF(AND($M179&lt;&gt;"",$M179=$C179),"Không thể tự quản lý chính mình",""),IF(OR($N179&lt;0,$N179&gt;1000000000),"Lương cơ bản ngoài phạm vi","")))</f>
        <v/>
      </c>
      <c r="C179" s="20" t="n"/>
      <c r="D179" s="21" t="n"/>
      <c r="E179" s="22" t="n"/>
      <c r="F179" s="21" t="n"/>
      <c r="G179" s="21" t="n"/>
      <c r="H179" s="21" t="n"/>
      <c r="I179" s="21" t="n"/>
      <c r="J179" s="19">
        <f>IF($I179="","",IFERROR(INDEX(DANH_MUC!$D$4:$D$1000,MATCH($I179,DANH_MUC!$C$4:$C$1000,0)),""))</f>
        <v/>
      </c>
      <c r="K179" s="21" t="n"/>
      <c r="L179" s="21" t="n"/>
      <c r="M179" s="20" t="n"/>
      <c r="N179" s="23" t="n"/>
      <c r="O179" s="21" t="n"/>
    </row>
    <row r="180">
      <c r="A180" s="19">
        <f>IF($C180="","CHƯA NHẬP",IF($B180="","HỢP LỆ","LỖI"))</f>
        <v/>
      </c>
      <c r="B180" s="19">
        <f>IF($C180="","",TEXTJOIN(" | ",TRUE,IF(COUNTIF('01_HO_SO'!$C$6:$C$505,$C180)=0,"Mã chưa có ở Bước 1",""),IF(COUNTIF($C$6:$C$505,$C180)&gt;1,"Trùng mã trong thông tin công việc",""),IF($D180="","Thiếu trạng thái làm việc",""),IF($E180="","Thiếu ngày vào công ty",IF(OR(NOT(ISNUMBER($E180)),$E180&gt;TODAY()),"Ngày vào công ty không hợp lệ","")),IF($G180="","Thiếu phòng ban",""),IF($I180="","Thiếu chức danh",""),IF(AND($M180&lt;&gt;"",COUNTIF('01_HO_SO'!$C$6:$C$505,$M180)=0),"Mã quản lý không tồn tại",""),IF(AND($M180&lt;&gt;"",$M180=$C180),"Không thể tự quản lý chính mình",""),IF(OR($N180&lt;0,$N180&gt;1000000000),"Lương cơ bản ngoài phạm vi","")))</f>
        <v/>
      </c>
      <c r="C180" s="20" t="n"/>
      <c r="D180" s="21" t="n"/>
      <c r="E180" s="22" t="n"/>
      <c r="F180" s="21" t="n"/>
      <c r="G180" s="21" t="n"/>
      <c r="H180" s="21" t="n"/>
      <c r="I180" s="21" t="n"/>
      <c r="J180" s="19">
        <f>IF($I180="","",IFERROR(INDEX(DANH_MUC!$D$4:$D$1000,MATCH($I180,DANH_MUC!$C$4:$C$1000,0)),""))</f>
        <v/>
      </c>
      <c r="K180" s="21" t="n"/>
      <c r="L180" s="21" t="n"/>
      <c r="M180" s="20" t="n"/>
      <c r="N180" s="23" t="n"/>
      <c r="O180" s="21" t="n"/>
    </row>
    <row r="181">
      <c r="A181" s="19">
        <f>IF($C181="","CHƯA NHẬP",IF($B181="","HỢP LỆ","LỖI"))</f>
        <v/>
      </c>
      <c r="B181" s="19">
        <f>IF($C181="","",TEXTJOIN(" | ",TRUE,IF(COUNTIF('01_HO_SO'!$C$6:$C$505,$C181)=0,"Mã chưa có ở Bước 1",""),IF(COUNTIF($C$6:$C$505,$C181)&gt;1,"Trùng mã trong thông tin công việc",""),IF($D181="","Thiếu trạng thái làm việc",""),IF($E181="","Thiếu ngày vào công ty",IF(OR(NOT(ISNUMBER($E181)),$E181&gt;TODAY()),"Ngày vào công ty không hợp lệ","")),IF($G181="","Thiếu phòng ban",""),IF($I181="","Thiếu chức danh",""),IF(AND($M181&lt;&gt;"",COUNTIF('01_HO_SO'!$C$6:$C$505,$M181)=0),"Mã quản lý không tồn tại",""),IF(AND($M181&lt;&gt;"",$M181=$C181),"Không thể tự quản lý chính mình",""),IF(OR($N181&lt;0,$N181&gt;1000000000),"Lương cơ bản ngoài phạm vi","")))</f>
        <v/>
      </c>
      <c r="C181" s="20" t="n"/>
      <c r="D181" s="21" t="n"/>
      <c r="E181" s="22" t="n"/>
      <c r="F181" s="21" t="n"/>
      <c r="G181" s="21" t="n"/>
      <c r="H181" s="21" t="n"/>
      <c r="I181" s="21" t="n"/>
      <c r="J181" s="19">
        <f>IF($I181="","",IFERROR(INDEX(DANH_MUC!$D$4:$D$1000,MATCH($I181,DANH_MUC!$C$4:$C$1000,0)),""))</f>
        <v/>
      </c>
      <c r="K181" s="21" t="n"/>
      <c r="L181" s="21" t="n"/>
      <c r="M181" s="20" t="n"/>
      <c r="N181" s="23" t="n"/>
      <c r="O181" s="21" t="n"/>
    </row>
    <row r="182">
      <c r="A182" s="19">
        <f>IF($C182="","CHƯA NHẬP",IF($B182="","HỢP LỆ","LỖI"))</f>
        <v/>
      </c>
      <c r="B182" s="19">
        <f>IF($C182="","",TEXTJOIN(" | ",TRUE,IF(COUNTIF('01_HO_SO'!$C$6:$C$505,$C182)=0,"Mã chưa có ở Bước 1",""),IF(COUNTIF($C$6:$C$505,$C182)&gt;1,"Trùng mã trong thông tin công việc",""),IF($D182="","Thiếu trạng thái làm việc",""),IF($E182="","Thiếu ngày vào công ty",IF(OR(NOT(ISNUMBER($E182)),$E182&gt;TODAY()),"Ngày vào công ty không hợp lệ","")),IF($G182="","Thiếu phòng ban",""),IF($I182="","Thiếu chức danh",""),IF(AND($M182&lt;&gt;"",COUNTIF('01_HO_SO'!$C$6:$C$505,$M182)=0),"Mã quản lý không tồn tại",""),IF(AND($M182&lt;&gt;"",$M182=$C182),"Không thể tự quản lý chính mình",""),IF(OR($N182&lt;0,$N182&gt;1000000000),"Lương cơ bản ngoài phạm vi","")))</f>
        <v/>
      </c>
      <c r="C182" s="20" t="n"/>
      <c r="D182" s="21" t="n"/>
      <c r="E182" s="22" t="n"/>
      <c r="F182" s="21" t="n"/>
      <c r="G182" s="21" t="n"/>
      <c r="H182" s="21" t="n"/>
      <c r="I182" s="21" t="n"/>
      <c r="J182" s="19">
        <f>IF($I182="","",IFERROR(INDEX(DANH_MUC!$D$4:$D$1000,MATCH($I182,DANH_MUC!$C$4:$C$1000,0)),""))</f>
        <v/>
      </c>
      <c r="K182" s="21" t="n"/>
      <c r="L182" s="21" t="n"/>
      <c r="M182" s="20" t="n"/>
      <c r="N182" s="23" t="n"/>
      <c r="O182" s="21" t="n"/>
    </row>
    <row r="183">
      <c r="A183" s="19">
        <f>IF($C183="","CHƯA NHẬP",IF($B183="","HỢP LỆ","LỖI"))</f>
        <v/>
      </c>
      <c r="B183" s="19">
        <f>IF($C183="","",TEXTJOIN(" | ",TRUE,IF(COUNTIF('01_HO_SO'!$C$6:$C$505,$C183)=0,"Mã chưa có ở Bước 1",""),IF(COUNTIF($C$6:$C$505,$C183)&gt;1,"Trùng mã trong thông tin công việc",""),IF($D183="","Thiếu trạng thái làm việc",""),IF($E183="","Thiếu ngày vào công ty",IF(OR(NOT(ISNUMBER($E183)),$E183&gt;TODAY()),"Ngày vào công ty không hợp lệ","")),IF($G183="","Thiếu phòng ban",""),IF($I183="","Thiếu chức danh",""),IF(AND($M183&lt;&gt;"",COUNTIF('01_HO_SO'!$C$6:$C$505,$M183)=0),"Mã quản lý không tồn tại",""),IF(AND($M183&lt;&gt;"",$M183=$C183),"Không thể tự quản lý chính mình",""),IF(OR($N183&lt;0,$N183&gt;1000000000),"Lương cơ bản ngoài phạm vi","")))</f>
        <v/>
      </c>
      <c r="C183" s="20" t="n"/>
      <c r="D183" s="21" t="n"/>
      <c r="E183" s="22" t="n"/>
      <c r="F183" s="21" t="n"/>
      <c r="G183" s="21" t="n"/>
      <c r="H183" s="21" t="n"/>
      <c r="I183" s="21" t="n"/>
      <c r="J183" s="19">
        <f>IF($I183="","",IFERROR(INDEX(DANH_MUC!$D$4:$D$1000,MATCH($I183,DANH_MUC!$C$4:$C$1000,0)),""))</f>
        <v/>
      </c>
      <c r="K183" s="21" t="n"/>
      <c r="L183" s="21" t="n"/>
      <c r="M183" s="20" t="n"/>
      <c r="N183" s="23" t="n"/>
      <c r="O183" s="21" t="n"/>
    </row>
    <row r="184">
      <c r="A184" s="19">
        <f>IF($C184="","CHƯA NHẬP",IF($B184="","HỢP LỆ","LỖI"))</f>
        <v/>
      </c>
      <c r="B184" s="19">
        <f>IF($C184="","",TEXTJOIN(" | ",TRUE,IF(COUNTIF('01_HO_SO'!$C$6:$C$505,$C184)=0,"Mã chưa có ở Bước 1",""),IF(COUNTIF($C$6:$C$505,$C184)&gt;1,"Trùng mã trong thông tin công việc",""),IF($D184="","Thiếu trạng thái làm việc",""),IF($E184="","Thiếu ngày vào công ty",IF(OR(NOT(ISNUMBER($E184)),$E184&gt;TODAY()),"Ngày vào công ty không hợp lệ","")),IF($G184="","Thiếu phòng ban",""),IF($I184="","Thiếu chức danh",""),IF(AND($M184&lt;&gt;"",COUNTIF('01_HO_SO'!$C$6:$C$505,$M184)=0),"Mã quản lý không tồn tại",""),IF(AND($M184&lt;&gt;"",$M184=$C184),"Không thể tự quản lý chính mình",""),IF(OR($N184&lt;0,$N184&gt;1000000000),"Lương cơ bản ngoài phạm vi","")))</f>
        <v/>
      </c>
      <c r="C184" s="20" t="n"/>
      <c r="D184" s="21" t="n"/>
      <c r="E184" s="22" t="n"/>
      <c r="F184" s="21" t="n"/>
      <c r="G184" s="21" t="n"/>
      <c r="H184" s="21" t="n"/>
      <c r="I184" s="21" t="n"/>
      <c r="J184" s="19">
        <f>IF($I184="","",IFERROR(INDEX(DANH_MUC!$D$4:$D$1000,MATCH($I184,DANH_MUC!$C$4:$C$1000,0)),""))</f>
        <v/>
      </c>
      <c r="K184" s="21" t="n"/>
      <c r="L184" s="21" t="n"/>
      <c r="M184" s="20" t="n"/>
      <c r="N184" s="23" t="n"/>
      <c r="O184" s="21" t="n"/>
    </row>
    <row r="185">
      <c r="A185" s="19">
        <f>IF($C185="","CHƯA NHẬP",IF($B185="","HỢP LỆ","LỖI"))</f>
        <v/>
      </c>
      <c r="B185" s="19">
        <f>IF($C185="","",TEXTJOIN(" | ",TRUE,IF(COUNTIF('01_HO_SO'!$C$6:$C$505,$C185)=0,"Mã chưa có ở Bước 1",""),IF(COUNTIF($C$6:$C$505,$C185)&gt;1,"Trùng mã trong thông tin công việc",""),IF($D185="","Thiếu trạng thái làm việc",""),IF($E185="","Thiếu ngày vào công ty",IF(OR(NOT(ISNUMBER($E185)),$E185&gt;TODAY()),"Ngày vào công ty không hợp lệ","")),IF($G185="","Thiếu phòng ban",""),IF($I185="","Thiếu chức danh",""),IF(AND($M185&lt;&gt;"",COUNTIF('01_HO_SO'!$C$6:$C$505,$M185)=0),"Mã quản lý không tồn tại",""),IF(AND($M185&lt;&gt;"",$M185=$C185),"Không thể tự quản lý chính mình",""),IF(OR($N185&lt;0,$N185&gt;1000000000),"Lương cơ bản ngoài phạm vi","")))</f>
        <v/>
      </c>
      <c r="C185" s="20" t="n"/>
      <c r="D185" s="21" t="n"/>
      <c r="E185" s="22" t="n"/>
      <c r="F185" s="21" t="n"/>
      <c r="G185" s="21" t="n"/>
      <c r="H185" s="21" t="n"/>
      <c r="I185" s="21" t="n"/>
      <c r="J185" s="19">
        <f>IF($I185="","",IFERROR(INDEX(DANH_MUC!$D$4:$D$1000,MATCH($I185,DANH_MUC!$C$4:$C$1000,0)),""))</f>
        <v/>
      </c>
      <c r="K185" s="21" t="n"/>
      <c r="L185" s="21" t="n"/>
      <c r="M185" s="20" t="n"/>
      <c r="N185" s="23" t="n"/>
      <c r="O185" s="21" t="n"/>
    </row>
    <row r="186">
      <c r="A186" s="19">
        <f>IF($C186="","CHƯA NHẬP",IF($B186="","HỢP LỆ","LỖI"))</f>
        <v/>
      </c>
      <c r="B186" s="19">
        <f>IF($C186="","",TEXTJOIN(" | ",TRUE,IF(COUNTIF('01_HO_SO'!$C$6:$C$505,$C186)=0,"Mã chưa có ở Bước 1",""),IF(COUNTIF($C$6:$C$505,$C186)&gt;1,"Trùng mã trong thông tin công việc",""),IF($D186="","Thiếu trạng thái làm việc",""),IF($E186="","Thiếu ngày vào công ty",IF(OR(NOT(ISNUMBER($E186)),$E186&gt;TODAY()),"Ngày vào công ty không hợp lệ","")),IF($G186="","Thiếu phòng ban",""),IF($I186="","Thiếu chức danh",""),IF(AND($M186&lt;&gt;"",COUNTIF('01_HO_SO'!$C$6:$C$505,$M186)=0),"Mã quản lý không tồn tại",""),IF(AND($M186&lt;&gt;"",$M186=$C186),"Không thể tự quản lý chính mình",""),IF(OR($N186&lt;0,$N186&gt;1000000000),"Lương cơ bản ngoài phạm vi","")))</f>
        <v/>
      </c>
      <c r="C186" s="20" t="n"/>
      <c r="D186" s="21" t="n"/>
      <c r="E186" s="22" t="n"/>
      <c r="F186" s="21" t="n"/>
      <c r="G186" s="21" t="n"/>
      <c r="H186" s="21" t="n"/>
      <c r="I186" s="21" t="n"/>
      <c r="J186" s="19">
        <f>IF($I186="","",IFERROR(INDEX(DANH_MUC!$D$4:$D$1000,MATCH($I186,DANH_MUC!$C$4:$C$1000,0)),""))</f>
        <v/>
      </c>
      <c r="K186" s="21" t="n"/>
      <c r="L186" s="21" t="n"/>
      <c r="M186" s="20" t="n"/>
      <c r="N186" s="23" t="n"/>
      <c r="O186" s="21" t="n"/>
    </row>
    <row r="187">
      <c r="A187" s="19">
        <f>IF($C187="","CHƯA NHẬP",IF($B187="","HỢP LỆ","LỖI"))</f>
        <v/>
      </c>
      <c r="B187" s="19">
        <f>IF($C187="","",TEXTJOIN(" | ",TRUE,IF(COUNTIF('01_HO_SO'!$C$6:$C$505,$C187)=0,"Mã chưa có ở Bước 1",""),IF(COUNTIF($C$6:$C$505,$C187)&gt;1,"Trùng mã trong thông tin công việc",""),IF($D187="","Thiếu trạng thái làm việc",""),IF($E187="","Thiếu ngày vào công ty",IF(OR(NOT(ISNUMBER($E187)),$E187&gt;TODAY()),"Ngày vào công ty không hợp lệ","")),IF($G187="","Thiếu phòng ban",""),IF($I187="","Thiếu chức danh",""),IF(AND($M187&lt;&gt;"",COUNTIF('01_HO_SO'!$C$6:$C$505,$M187)=0),"Mã quản lý không tồn tại",""),IF(AND($M187&lt;&gt;"",$M187=$C187),"Không thể tự quản lý chính mình",""),IF(OR($N187&lt;0,$N187&gt;1000000000),"Lương cơ bản ngoài phạm vi","")))</f>
        <v/>
      </c>
      <c r="C187" s="20" t="n"/>
      <c r="D187" s="21" t="n"/>
      <c r="E187" s="22" t="n"/>
      <c r="F187" s="21" t="n"/>
      <c r="G187" s="21" t="n"/>
      <c r="H187" s="21" t="n"/>
      <c r="I187" s="21" t="n"/>
      <c r="J187" s="19">
        <f>IF($I187="","",IFERROR(INDEX(DANH_MUC!$D$4:$D$1000,MATCH($I187,DANH_MUC!$C$4:$C$1000,0)),""))</f>
        <v/>
      </c>
      <c r="K187" s="21" t="n"/>
      <c r="L187" s="21" t="n"/>
      <c r="M187" s="20" t="n"/>
      <c r="N187" s="23" t="n"/>
      <c r="O187" s="21" t="n"/>
    </row>
    <row r="188">
      <c r="A188" s="19">
        <f>IF($C188="","CHƯA NHẬP",IF($B188="","HỢP LỆ","LỖI"))</f>
        <v/>
      </c>
      <c r="B188" s="19">
        <f>IF($C188="","",TEXTJOIN(" | ",TRUE,IF(COUNTIF('01_HO_SO'!$C$6:$C$505,$C188)=0,"Mã chưa có ở Bước 1",""),IF(COUNTIF($C$6:$C$505,$C188)&gt;1,"Trùng mã trong thông tin công việc",""),IF($D188="","Thiếu trạng thái làm việc",""),IF($E188="","Thiếu ngày vào công ty",IF(OR(NOT(ISNUMBER($E188)),$E188&gt;TODAY()),"Ngày vào công ty không hợp lệ","")),IF($G188="","Thiếu phòng ban",""),IF($I188="","Thiếu chức danh",""),IF(AND($M188&lt;&gt;"",COUNTIF('01_HO_SO'!$C$6:$C$505,$M188)=0),"Mã quản lý không tồn tại",""),IF(AND($M188&lt;&gt;"",$M188=$C188),"Không thể tự quản lý chính mình",""),IF(OR($N188&lt;0,$N188&gt;1000000000),"Lương cơ bản ngoài phạm vi","")))</f>
        <v/>
      </c>
      <c r="C188" s="20" t="n"/>
      <c r="D188" s="21" t="n"/>
      <c r="E188" s="22" t="n"/>
      <c r="F188" s="21" t="n"/>
      <c r="G188" s="21" t="n"/>
      <c r="H188" s="21" t="n"/>
      <c r="I188" s="21" t="n"/>
      <c r="J188" s="19">
        <f>IF($I188="","",IFERROR(INDEX(DANH_MUC!$D$4:$D$1000,MATCH($I188,DANH_MUC!$C$4:$C$1000,0)),""))</f>
        <v/>
      </c>
      <c r="K188" s="21" t="n"/>
      <c r="L188" s="21" t="n"/>
      <c r="M188" s="20" t="n"/>
      <c r="N188" s="23" t="n"/>
      <c r="O188" s="21" t="n"/>
    </row>
    <row r="189">
      <c r="A189" s="19">
        <f>IF($C189="","CHƯA NHẬP",IF($B189="","HỢP LỆ","LỖI"))</f>
        <v/>
      </c>
      <c r="B189" s="19">
        <f>IF($C189="","",TEXTJOIN(" | ",TRUE,IF(COUNTIF('01_HO_SO'!$C$6:$C$505,$C189)=0,"Mã chưa có ở Bước 1",""),IF(COUNTIF($C$6:$C$505,$C189)&gt;1,"Trùng mã trong thông tin công việc",""),IF($D189="","Thiếu trạng thái làm việc",""),IF($E189="","Thiếu ngày vào công ty",IF(OR(NOT(ISNUMBER($E189)),$E189&gt;TODAY()),"Ngày vào công ty không hợp lệ","")),IF($G189="","Thiếu phòng ban",""),IF($I189="","Thiếu chức danh",""),IF(AND($M189&lt;&gt;"",COUNTIF('01_HO_SO'!$C$6:$C$505,$M189)=0),"Mã quản lý không tồn tại",""),IF(AND($M189&lt;&gt;"",$M189=$C189),"Không thể tự quản lý chính mình",""),IF(OR($N189&lt;0,$N189&gt;1000000000),"Lương cơ bản ngoài phạm vi","")))</f>
        <v/>
      </c>
      <c r="C189" s="20" t="n"/>
      <c r="D189" s="21" t="n"/>
      <c r="E189" s="22" t="n"/>
      <c r="F189" s="21" t="n"/>
      <c r="G189" s="21" t="n"/>
      <c r="H189" s="21" t="n"/>
      <c r="I189" s="21" t="n"/>
      <c r="J189" s="19">
        <f>IF($I189="","",IFERROR(INDEX(DANH_MUC!$D$4:$D$1000,MATCH($I189,DANH_MUC!$C$4:$C$1000,0)),""))</f>
        <v/>
      </c>
      <c r="K189" s="21" t="n"/>
      <c r="L189" s="21" t="n"/>
      <c r="M189" s="20" t="n"/>
      <c r="N189" s="23" t="n"/>
      <c r="O189" s="21" t="n"/>
    </row>
    <row r="190">
      <c r="A190" s="19">
        <f>IF($C190="","CHƯA NHẬP",IF($B190="","HỢP LỆ","LỖI"))</f>
        <v/>
      </c>
      <c r="B190" s="19">
        <f>IF($C190="","",TEXTJOIN(" | ",TRUE,IF(COUNTIF('01_HO_SO'!$C$6:$C$505,$C190)=0,"Mã chưa có ở Bước 1",""),IF(COUNTIF($C$6:$C$505,$C190)&gt;1,"Trùng mã trong thông tin công việc",""),IF($D190="","Thiếu trạng thái làm việc",""),IF($E190="","Thiếu ngày vào công ty",IF(OR(NOT(ISNUMBER($E190)),$E190&gt;TODAY()),"Ngày vào công ty không hợp lệ","")),IF($G190="","Thiếu phòng ban",""),IF($I190="","Thiếu chức danh",""),IF(AND($M190&lt;&gt;"",COUNTIF('01_HO_SO'!$C$6:$C$505,$M190)=0),"Mã quản lý không tồn tại",""),IF(AND($M190&lt;&gt;"",$M190=$C190),"Không thể tự quản lý chính mình",""),IF(OR($N190&lt;0,$N190&gt;1000000000),"Lương cơ bản ngoài phạm vi","")))</f>
        <v/>
      </c>
      <c r="C190" s="20" t="n"/>
      <c r="D190" s="21" t="n"/>
      <c r="E190" s="22" t="n"/>
      <c r="F190" s="21" t="n"/>
      <c r="G190" s="21" t="n"/>
      <c r="H190" s="21" t="n"/>
      <c r="I190" s="21" t="n"/>
      <c r="J190" s="19">
        <f>IF($I190="","",IFERROR(INDEX(DANH_MUC!$D$4:$D$1000,MATCH($I190,DANH_MUC!$C$4:$C$1000,0)),""))</f>
        <v/>
      </c>
      <c r="K190" s="21" t="n"/>
      <c r="L190" s="21" t="n"/>
      <c r="M190" s="20" t="n"/>
      <c r="N190" s="23" t="n"/>
      <c r="O190" s="21" t="n"/>
    </row>
    <row r="191">
      <c r="A191" s="19">
        <f>IF($C191="","CHƯA NHẬP",IF($B191="","HỢP LỆ","LỖI"))</f>
        <v/>
      </c>
      <c r="B191" s="19">
        <f>IF($C191="","",TEXTJOIN(" | ",TRUE,IF(COUNTIF('01_HO_SO'!$C$6:$C$505,$C191)=0,"Mã chưa có ở Bước 1",""),IF(COUNTIF($C$6:$C$505,$C191)&gt;1,"Trùng mã trong thông tin công việc",""),IF($D191="","Thiếu trạng thái làm việc",""),IF($E191="","Thiếu ngày vào công ty",IF(OR(NOT(ISNUMBER($E191)),$E191&gt;TODAY()),"Ngày vào công ty không hợp lệ","")),IF($G191="","Thiếu phòng ban",""),IF($I191="","Thiếu chức danh",""),IF(AND($M191&lt;&gt;"",COUNTIF('01_HO_SO'!$C$6:$C$505,$M191)=0),"Mã quản lý không tồn tại",""),IF(AND($M191&lt;&gt;"",$M191=$C191),"Không thể tự quản lý chính mình",""),IF(OR($N191&lt;0,$N191&gt;1000000000),"Lương cơ bản ngoài phạm vi","")))</f>
        <v/>
      </c>
      <c r="C191" s="20" t="n"/>
      <c r="D191" s="21" t="n"/>
      <c r="E191" s="22" t="n"/>
      <c r="F191" s="21" t="n"/>
      <c r="G191" s="21" t="n"/>
      <c r="H191" s="21" t="n"/>
      <c r="I191" s="21" t="n"/>
      <c r="J191" s="19">
        <f>IF($I191="","",IFERROR(INDEX(DANH_MUC!$D$4:$D$1000,MATCH($I191,DANH_MUC!$C$4:$C$1000,0)),""))</f>
        <v/>
      </c>
      <c r="K191" s="21" t="n"/>
      <c r="L191" s="21" t="n"/>
      <c r="M191" s="20" t="n"/>
      <c r="N191" s="23" t="n"/>
      <c r="O191" s="21" t="n"/>
    </row>
    <row r="192">
      <c r="A192" s="19">
        <f>IF($C192="","CHƯA NHẬP",IF($B192="","HỢP LỆ","LỖI"))</f>
        <v/>
      </c>
      <c r="B192" s="19">
        <f>IF($C192="","",TEXTJOIN(" | ",TRUE,IF(COUNTIF('01_HO_SO'!$C$6:$C$505,$C192)=0,"Mã chưa có ở Bước 1",""),IF(COUNTIF($C$6:$C$505,$C192)&gt;1,"Trùng mã trong thông tin công việc",""),IF($D192="","Thiếu trạng thái làm việc",""),IF($E192="","Thiếu ngày vào công ty",IF(OR(NOT(ISNUMBER($E192)),$E192&gt;TODAY()),"Ngày vào công ty không hợp lệ","")),IF($G192="","Thiếu phòng ban",""),IF($I192="","Thiếu chức danh",""),IF(AND($M192&lt;&gt;"",COUNTIF('01_HO_SO'!$C$6:$C$505,$M192)=0),"Mã quản lý không tồn tại",""),IF(AND($M192&lt;&gt;"",$M192=$C192),"Không thể tự quản lý chính mình",""),IF(OR($N192&lt;0,$N192&gt;1000000000),"Lương cơ bản ngoài phạm vi","")))</f>
        <v/>
      </c>
      <c r="C192" s="20" t="n"/>
      <c r="D192" s="21" t="n"/>
      <c r="E192" s="22" t="n"/>
      <c r="F192" s="21" t="n"/>
      <c r="G192" s="21" t="n"/>
      <c r="H192" s="21" t="n"/>
      <c r="I192" s="21" t="n"/>
      <c r="J192" s="19">
        <f>IF($I192="","",IFERROR(INDEX(DANH_MUC!$D$4:$D$1000,MATCH($I192,DANH_MUC!$C$4:$C$1000,0)),""))</f>
        <v/>
      </c>
      <c r="K192" s="21" t="n"/>
      <c r="L192" s="21" t="n"/>
      <c r="M192" s="20" t="n"/>
      <c r="N192" s="23" t="n"/>
      <c r="O192" s="21" t="n"/>
    </row>
    <row r="193">
      <c r="A193" s="19">
        <f>IF($C193="","CHƯA NHẬP",IF($B193="","HỢP LỆ","LỖI"))</f>
        <v/>
      </c>
      <c r="B193" s="19">
        <f>IF($C193="","",TEXTJOIN(" | ",TRUE,IF(COUNTIF('01_HO_SO'!$C$6:$C$505,$C193)=0,"Mã chưa có ở Bước 1",""),IF(COUNTIF($C$6:$C$505,$C193)&gt;1,"Trùng mã trong thông tin công việc",""),IF($D193="","Thiếu trạng thái làm việc",""),IF($E193="","Thiếu ngày vào công ty",IF(OR(NOT(ISNUMBER($E193)),$E193&gt;TODAY()),"Ngày vào công ty không hợp lệ","")),IF($G193="","Thiếu phòng ban",""),IF($I193="","Thiếu chức danh",""),IF(AND($M193&lt;&gt;"",COUNTIF('01_HO_SO'!$C$6:$C$505,$M193)=0),"Mã quản lý không tồn tại",""),IF(AND($M193&lt;&gt;"",$M193=$C193),"Không thể tự quản lý chính mình",""),IF(OR($N193&lt;0,$N193&gt;1000000000),"Lương cơ bản ngoài phạm vi","")))</f>
        <v/>
      </c>
      <c r="C193" s="20" t="n"/>
      <c r="D193" s="21" t="n"/>
      <c r="E193" s="22" t="n"/>
      <c r="F193" s="21" t="n"/>
      <c r="G193" s="21" t="n"/>
      <c r="H193" s="21" t="n"/>
      <c r="I193" s="21" t="n"/>
      <c r="J193" s="19">
        <f>IF($I193="","",IFERROR(INDEX(DANH_MUC!$D$4:$D$1000,MATCH($I193,DANH_MUC!$C$4:$C$1000,0)),""))</f>
        <v/>
      </c>
      <c r="K193" s="21" t="n"/>
      <c r="L193" s="21" t="n"/>
      <c r="M193" s="20" t="n"/>
      <c r="N193" s="23" t="n"/>
      <c r="O193" s="21" t="n"/>
    </row>
    <row r="194">
      <c r="A194" s="19">
        <f>IF($C194="","CHƯA NHẬP",IF($B194="","HỢP LỆ","LỖI"))</f>
        <v/>
      </c>
      <c r="B194" s="19">
        <f>IF($C194="","",TEXTJOIN(" | ",TRUE,IF(COUNTIF('01_HO_SO'!$C$6:$C$505,$C194)=0,"Mã chưa có ở Bước 1",""),IF(COUNTIF($C$6:$C$505,$C194)&gt;1,"Trùng mã trong thông tin công việc",""),IF($D194="","Thiếu trạng thái làm việc",""),IF($E194="","Thiếu ngày vào công ty",IF(OR(NOT(ISNUMBER($E194)),$E194&gt;TODAY()),"Ngày vào công ty không hợp lệ","")),IF($G194="","Thiếu phòng ban",""),IF($I194="","Thiếu chức danh",""),IF(AND($M194&lt;&gt;"",COUNTIF('01_HO_SO'!$C$6:$C$505,$M194)=0),"Mã quản lý không tồn tại",""),IF(AND($M194&lt;&gt;"",$M194=$C194),"Không thể tự quản lý chính mình",""),IF(OR($N194&lt;0,$N194&gt;1000000000),"Lương cơ bản ngoài phạm vi","")))</f>
        <v/>
      </c>
      <c r="C194" s="20" t="n"/>
      <c r="D194" s="21" t="n"/>
      <c r="E194" s="22" t="n"/>
      <c r="F194" s="21" t="n"/>
      <c r="G194" s="21" t="n"/>
      <c r="H194" s="21" t="n"/>
      <c r="I194" s="21" t="n"/>
      <c r="J194" s="19">
        <f>IF($I194="","",IFERROR(INDEX(DANH_MUC!$D$4:$D$1000,MATCH($I194,DANH_MUC!$C$4:$C$1000,0)),""))</f>
        <v/>
      </c>
      <c r="K194" s="21" t="n"/>
      <c r="L194" s="21" t="n"/>
      <c r="M194" s="20" t="n"/>
      <c r="N194" s="23" t="n"/>
      <c r="O194" s="21" t="n"/>
    </row>
    <row r="195">
      <c r="A195" s="19">
        <f>IF($C195="","CHƯA NHẬP",IF($B195="","HỢP LỆ","LỖI"))</f>
        <v/>
      </c>
      <c r="B195" s="19">
        <f>IF($C195="","",TEXTJOIN(" | ",TRUE,IF(COUNTIF('01_HO_SO'!$C$6:$C$505,$C195)=0,"Mã chưa có ở Bước 1",""),IF(COUNTIF($C$6:$C$505,$C195)&gt;1,"Trùng mã trong thông tin công việc",""),IF($D195="","Thiếu trạng thái làm việc",""),IF($E195="","Thiếu ngày vào công ty",IF(OR(NOT(ISNUMBER($E195)),$E195&gt;TODAY()),"Ngày vào công ty không hợp lệ","")),IF($G195="","Thiếu phòng ban",""),IF($I195="","Thiếu chức danh",""),IF(AND($M195&lt;&gt;"",COUNTIF('01_HO_SO'!$C$6:$C$505,$M195)=0),"Mã quản lý không tồn tại",""),IF(AND($M195&lt;&gt;"",$M195=$C195),"Không thể tự quản lý chính mình",""),IF(OR($N195&lt;0,$N195&gt;1000000000),"Lương cơ bản ngoài phạm vi","")))</f>
        <v/>
      </c>
      <c r="C195" s="20" t="n"/>
      <c r="D195" s="21" t="n"/>
      <c r="E195" s="22" t="n"/>
      <c r="F195" s="21" t="n"/>
      <c r="G195" s="21" t="n"/>
      <c r="H195" s="21" t="n"/>
      <c r="I195" s="21" t="n"/>
      <c r="J195" s="19">
        <f>IF($I195="","",IFERROR(INDEX(DANH_MUC!$D$4:$D$1000,MATCH($I195,DANH_MUC!$C$4:$C$1000,0)),""))</f>
        <v/>
      </c>
      <c r="K195" s="21" t="n"/>
      <c r="L195" s="21" t="n"/>
      <c r="M195" s="20" t="n"/>
      <c r="N195" s="23" t="n"/>
      <c r="O195" s="21" t="n"/>
    </row>
    <row r="196">
      <c r="A196" s="19">
        <f>IF($C196="","CHƯA NHẬP",IF($B196="","HỢP LỆ","LỖI"))</f>
        <v/>
      </c>
      <c r="B196" s="19">
        <f>IF($C196="","",TEXTJOIN(" | ",TRUE,IF(COUNTIF('01_HO_SO'!$C$6:$C$505,$C196)=0,"Mã chưa có ở Bước 1",""),IF(COUNTIF($C$6:$C$505,$C196)&gt;1,"Trùng mã trong thông tin công việc",""),IF($D196="","Thiếu trạng thái làm việc",""),IF($E196="","Thiếu ngày vào công ty",IF(OR(NOT(ISNUMBER($E196)),$E196&gt;TODAY()),"Ngày vào công ty không hợp lệ","")),IF($G196="","Thiếu phòng ban",""),IF($I196="","Thiếu chức danh",""),IF(AND($M196&lt;&gt;"",COUNTIF('01_HO_SO'!$C$6:$C$505,$M196)=0),"Mã quản lý không tồn tại",""),IF(AND($M196&lt;&gt;"",$M196=$C196),"Không thể tự quản lý chính mình",""),IF(OR($N196&lt;0,$N196&gt;1000000000),"Lương cơ bản ngoài phạm vi","")))</f>
        <v/>
      </c>
      <c r="C196" s="20" t="n"/>
      <c r="D196" s="21" t="n"/>
      <c r="E196" s="22" t="n"/>
      <c r="F196" s="21" t="n"/>
      <c r="G196" s="21" t="n"/>
      <c r="H196" s="21" t="n"/>
      <c r="I196" s="21" t="n"/>
      <c r="J196" s="19">
        <f>IF($I196="","",IFERROR(INDEX(DANH_MUC!$D$4:$D$1000,MATCH($I196,DANH_MUC!$C$4:$C$1000,0)),""))</f>
        <v/>
      </c>
      <c r="K196" s="21" t="n"/>
      <c r="L196" s="21" t="n"/>
      <c r="M196" s="20" t="n"/>
      <c r="N196" s="23" t="n"/>
      <c r="O196" s="21" t="n"/>
    </row>
    <row r="197">
      <c r="A197" s="19">
        <f>IF($C197="","CHƯA NHẬP",IF($B197="","HỢP LỆ","LỖI"))</f>
        <v/>
      </c>
      <c r="B197" s="19">
        <f>IF($C197="","",TEXTJOIN(" | ",TRUE,IF(COUNTIF('01_HO_SO'!$C$6:$C$505,$C197)=0,"Mã chưa có ở Bước 1",""),IF(COUNTIF($C$6:$C$505,$C197)&gt;1,"Trùng mã trong thông tin công việc",""),IF($D197="","Thiếu trạng thái làm việc",""),IF($E197="","Thiếu ngày vào công ty",IF(OR(NOT(ISNUMBER($E197)),$E197&gt;TODAY()),"Ngày vào công ty không hợp lệ","")),IF($G197="","Thiếu phòng ban",""),IF($I197="","Thiếu chức danh",""),IF(AND($M197&lt;&gt;"",COUNTIF('01_HO_SO'!$C$6:$C$505,$M197)=0),"Mã quản lý không tồn tại",""),IF(AND($M197&lt;&gt;"",$M197=$C197),"Không thể tự quản lý chính mình",""),IF(OR($N197&lt;0,$N197&gt;1000000000),"Lương cơ bản ngoài phạm vi","")))</f>
        <v/>
      </c>
      <c r="C197" s="20" t="n"/>
      <c r="D197" s="21" t="n"/>
      <c r="E197" s="22" t="n"/>
      <c r="F197" s="21" t="n"/>
      <c r="G197" s="21" t="n"/>
      <c r="H197" s="21" t="n"/>
      <c r="I197" s="21" t="n"/>
      <c r="J197" s="19">
        <f>IF($I197="","",IFERROR(INDEX(DANH_MUC!$D$4:$D$1000,MATCH($I197,DANH_MUC!$C$4:$C$1000,0)),""))</f>
        <v/>
      </c>
      <c r="K197" s="21" t="n"/>
      <c r="L197" s="21" t="n"/>
      <c r="M197" s="20" t="n"/>
      <c r="N197" s="23" t="n"/>
      <c r="O197" s="21" t="n"/>
    </row>
    <row r="198">
      <c r="A198" s="19">
        <f>IF($C198="","CHƯA NHẬP",IF($B198="","HỢP LỆ","LỖI"))</f>
        <v/>
      </c>
      <c r="B198" s="19">
        <f>IF($C198="","",TEXTJOIN(" | ",TRUE,IF(COUNTIF('01_HO_SO'!$C$6:$C$505,$C198)=0,"Mã chưa có ở Bước 1",""),IF(COUNTIF($C$6:$C$505,$C198)&gt;1,"Trùng mã trong thông tin công việc",""),IF($D198="","Thiếu trạng thái làm việc",""),IF($E198="","Thiếu ngày vào công ty",IF(OR(NOT(ISNUMBER($E198)),$E198&gt;TODAY()),"Ngày vào công ty không hợp lệ","")),IF($G198="","Thiếu phòng ban",""),IF($I198="","Thiếu chức danh",""),IF(AND($M198&lt;&gt;"",COUNTIF('01_HO_SO'!$C$6:$C$505,$M198)=0),"Mã quản lý không tồn tại",""),IF(AND($M198&lt;&gt;"",$M198=$C198),"Không thể tự quản lý chính mình",""),IF(OR($N198&lt;0,$N198&gt;1000000000),"Lương cơ bản ngoài phạm vi","")))</f>
        <v/>
      </c>
      <c r="C198" s="20" t="n"/>
      <c r="D198" s="21" t="n"/>
      <c r="E198" s="22" t="n"/>
      <c r="F198" s="21" t="n"/>
      <c r="G198" s="21" t="n"/>
      <c r="H198" s="21" t="n"/>
      <c r="I198" s="21" t="n"/>
      <c r="J198" s="19">
        <f>IF($I198="","",IFERROR(INDEX(DANH_MUC!$D$4:$D$1000,MATCH($I198,DANH_MUC!$C$4:$C$1000,0)),""))</f>
        <v/>
      </c>
      <c r="K198" s="21" t="n"/>
      <c r="L198" s="21" t="n"/>
      <c r="M198" s="20" t="n"/>
      <c r="N198" s="23" t="n"/>
      <c r="O198" s="21" t="n"/>
    </row>
    <row r="199">
      <c r="A199" s="19">
        <f>IF($C199="","CHƯA NHẬP",IF($B199="","HỢP LỆ","LỖI"))</f>
        <v/>
      </c>
      <c r="B199" s="19">
        <f>IF($C199="","",TEXTJOIN(" | ",TRUE,IF(COUNTIF('01_HO_SO'!$C$6:$C$505,$C199)=0,"Mã chưa có ở Bước 1",""),IF(COUNTIF($C$6:$C$505,$C199)&gt;1,"Trùng mã trong thông tin công việc",""),IF($D199="","Thiếu trạng thái làm việc",""),IF($E199="","Thiếu ngày vào công ty",IF(OR(NOT(ISNUMBER($E199)),$E199&gt;TODAY()),"Ngày vào công ty không hợp lệ","")),IF($G199="","Thiếu phòng ban",""),IF($I199="","Thiếu chức danh",""),IF(AND($M199&lt;&gt;"",COUNTIF('01_HO_SO'!$C$6:$C$505,$M199)=0),"Mã quản lý không tồn tại",""),IF(AND($M199&lt;&gt;"",$M199=$C199),"Không thể tự quản lý chính mình",""),IF(OR($N199&lt;0,$N199&gt;1000000000),"Lương cơ bản ngoài phạm vi","")))</f>
        <v/>
      </c>
      <c r="C199" s="20" t="n"/>
      <c r="D199" s="21" t="n"/>
      <c r="E199" s="22" t="n"/>
      <c r="F199" s="21" t="n"/>
      <c r="G199" s="21" t="n"/>
      <c r="H199" s="21" t="n"/>
      <c r="I199" s="21" t="n"/>
      <c r="J199" s="19">
        <f>IF($I199="","",IFERROR(INDEX(DANH_MUC!$D$4:$D$1000,MATCH($I199,DANH_MUC!$C$4:$C$1000,0)),""))</f>
        <v/>
      </c>
      <c r="K199" s="21" t="n"/>
      <c r="L199" s="21" t="n"/>
      <c r="M199" s="20" t="n"/>
      <c r="N199" s="23" t="n"/>
      <c r="O199" s="21" t="n"/>
    </row>
    <row r="200">
      <c r="A200" s="19">
        <f>IF($C200="","CHƯA NHẬP",IF($B200="","HỢP LỆ","LỖI"))</f>
        <v/>
      </c>
      <c r="B200" s="19">
        <f>IF($C200="","",TEXTJOIN(" | ",TRUE,IF(COUNTIF('01_HO_SO'!$C$6:$C$505,$C200)=0,"Mã chưa có ở Bước 1",""),IF(COUNTIF($C$6:$C$505,$C200)&gt;1,"Trùng mã trong thông tin công việc",""),IF($D200="","Thiếu trạng thái làm việc",""),IF($E200="","Thiếu ngày vào công ty",IF(OR(NOT(ISNUMBER($E200)),$E200&gt;TODAY()),"Ngày vào công ty không hợp lệ","")),IF($G200="","Thiếu phòng ban",""),IF($I200="","Thiếu chức danh",""),IF(AND($M200&lt;&gt;"",COUNTIF('01_HO_SO'!$C$6:$C$505,$M200)=0),"Mã quản lý không tồn tại",""),IF(AND($M200&lt;&gt;"",$M200=$C200),"Không thể tự quản lý chính mình",""),IF(OR($N200&lt;0,$N200&gt;1000000000),"Lương cơ bản ngoài phạm vi","")))</f>
        <v/>
      </c>
      <c r="C200" s="20" t="n"/>
      <c r="D200" s="21" t="n"/>
      <c r="E200" s="22" t="n"/>
      <c r="F200" s="21" t="n"/>
      <c r="G200" s="21" t="n"/>
      <c r="H200" s="21" t="n"/>
      <c r="I200" s="21" t="n"/>
      <c r="J200" s="19">
        <f>IF($I200="","",IFERROR(INDEX(DANH_MUC!$D$4:$D$1000,MATCH($I200,DANH_MUC!$C$4:$C$1000,0)),""))</f>
        <v/>
      </c>
      <c r="K200" s="21" t="n"/>
      <c r="L200" s="21" t="n"/>
      <c r="M200" s="20" t="n"/>
      <c r="N200" s="23" t="n"/>
      <c r="O200" s="21" t="n"/>
    </row>
    <row r="201">
      <c r="A201" s="19">
        <f>IF($C201="","CHƯA NHẬP",IF($B201="","HỢP LỆ","LỖI"))</f>
        <v/>
      </c>
      <c r="B201" s="19">
        <f>IF($C201="","",TEXTJOIN(" | ",TRUE,IF(COUNTIF('01_HO_SO'!$C$6:$C$505,$C201)=0,"Mã chưa có ở Bước 1",""),IF(COUNTIF($C$6:$C$505,$C201)&gt;1,"Trùng mã trong thông tin công việc",""),IF($D201="","Thiếu trạng thái làm việc",""),IF($E201="","Thiếu ngày vào công ty",IF(OR(NOT(ISNUMBER($E201)),$E201&gt;TODAY()),"Ngày vào công ty không hợp lệ","")),IF($G201="","Thiếu phòng ban",""),IF($I201="","Thiếu chức danh",""),IF(AND($M201&lt;&gt;"",COUNTIF('01_HO_SO'!$C$6:$C$505,$M201)=0),"Mã quản lý không tồn tại",""),IF(AND($M201&lt;&gt;"",$M201=$C201),"Không thể tự quản lý chính mình",""),IF(OR($N201&lt;0,$N201&gt;1000000000),"Lương cơ bản ngoài phạm vi","")))</f>
        <v/>
      </c>
      <c r="C201" s="20" t="n"/>
      <c r="D201" s="21" t="n"/>
      <c r="E201" s="22" t="n"/>
      <c r="F201" s="21" t="n"/>
      <c r="G201" s="21" t="n"/>
      <c r="H201" s="21" t="n"/>
      <c r="I201" s="21" t="n"/>
      <c r="J201" s="19">
        <f>IF($I201="","",IFERROR(INDEX(DANH_MUC!$D$4:$D$1000,MATCH($I201,DANH_MUC!$C$4:$C$1000,0)),""))</f>
        <v/>
      </c>
      <c r="K201" s="21" t="n"/>
      <c r="L201" s="21" t="n"/>
      <c r="M201" s="20" t="n"/>
      <c r="N201" s="23" t="n"/>
      <c r="O201" s="21" t="n"/>
    </row>
    <row r="202">
      <c r="A202" s="19">
        <f>IF($C202="","CHƯA NHẬP",IF($B202="","HỢP LỆ","LỖI"))</f>
        <v/>
      </c>
      <c r="B202" s="19">
        <f>IF($C202="","",TEXTJOIN(" | ",TRUE,IF(COUNTIF('01_HO_SO'!$C$6:$C$505,$C202)=0,"Mã chưa có ở Bước 1",""),IF(COUNTIF($C$6:$C$505,$C202)&gt;1,"Trùng mã trong thông tin công việc",""),IF($D202="","Thiếu trạng thái làm việc",""),IF($E202="","Thiếu ngày vào công ty",IF(OR(NOT(ISNUMBER($E202)),$E202&gt;TODAY()),"Ngày vào công ty không hợp lệ","")),IF($G202="","Thiếu phòng ban",""),IF($I202="","Thiếu chức danh",""),IF(AND($M202&lt;&gt;"",COUNTIF('01_HO_SO'!$C$6:$C$505,$M202)=0),"Mã quản lý không tồn tại",""),IF(AND($M202&lt;&gt;"",$M202=$C202),"Không thể tự quản lý chính mình",""),IF(OR($N202&lt;0,$N202&gt;1000000000),"Lương cơ bản ngoài phạm vi","")))</f>
        <v/>
      </c>
      <c r="C202" s="20" t="n"/>
      <c r="D202" s="21" t="n"/>
      <c r="E202" s="22" t="n"/>
      <c r="F202" s="21" t="n"/>
      <c r="G202" s="21" t="n"/>
      <c r="H202" s="21" t="n"/>
      <c r="I202" s="21" t="n"/>
      <c r="J202" s="19">
        <f>IF($I202="","",IFERROR(INDEX(DANH_MUC!$D$4:$D$1000,MATCH($I202,DANH_MUC!$C$4:$C$1000,0)),""))</f>
        <v/>
      </c>
      <c r="K202" s="21" t="n"/>
      <c r="L202" s="21" t="n"/>
      <c r="M202" s="20" t="n"/>
      <c r="N202" s="23" t="n"/>
      <c r="O202" s="21" t="n"/>
    </row>
    <row r="203">
      <c r="A203" s="19">
        <f>IF($C203="","CHƯA NHẬP",IF($B203="","HỢP LỆ","LỖI"))</f>
        <v/>
      </c>
      <c r="B203" s="19">
        <f>IF($C203="","",TEXTJOIN(" | ",TRUE,IF(COUNTIF('01_HO_SO'!$C$6:$C$505,$C203)=0,"Mã chưa có ở Bước 1",""),IF(COUNTIF($C$6:$C$505,$C203)&gt;1,"Trùng mã trong thông tin công việc",""),IF($D203="","Thiếu trạng thái làm việc",""),IF($E203="","Thiếu ngày vào công ty",IF(OR(NOT(ISNUMBER($E203)),$E203&gt;TODAY()),"Ngày vào công ty không hợp lệ","")),IF($G203="","Thiếu phòng ban",""),IF($I203="","Thiếu chức danh",""),IF(AND($M203&lt;&gt;"",COUNTIF('01_HO_SO'!$C$6:$C$505,$M203)=0),"Mã quản lý không tồn tại",""),IF(AND($M203&lt;&gt;"",$M203=$C203),"Không thể tự quản lý chính mình",""),IF(OR($N203&lt;0,$N203&gt;1000000000),"Lương cơ bản ngoài phạm vi","")))</f>
        <v/>
      </c>
      <c r="C203" s="20" t="n"/>
      <c r="D203" s="21" t="n"/>
      <c r="E203" s="22" t="n"/>
      <c r="F203" s="21" t="n"/>
      <c r="G203" s="21" t="n"/>
      <c r="H203" s="21" t="n"/>
      <c r="I203" s="21" t="n"/>
      <c r="J203" s="19">
        <f>IF($I203="","",IFERROR(INDEX(DANH_MUC!$D$4:$D$1000,MATCH($I203,DANH_MUC!$C$4:$C$1000,0)),""))</f>
        <v/>
      </c>
      <c r="K203" s="21" t="n"/>
      <c r="L203" s="21" t="n"/>
      <c r="M203" s="20" t="n"/>
      <c r="N203" s="23" t="n"/>
      <c r="O203" s="21" t="n"/>
    </row>
    <row r="204">
      <c r="A204" s="19">
        <f>IF($C204="","CHƯA NHẬP",IF($B204="","HỢP LỆ","LỖI"))</f>
        <v/>
      </c>
      <c r="B204" s="19">
        <f>IF($C204="","",TEXTJOIN(" | ",TRUE,IF(COUNTIF('01_HO_SO'!$C$6:$C$505,$C204)=0,"Mã chưa có ở Bước 1",""),IF(COUNTIF($C$6:$C$505,$C204)&gt;1,"Trùng mã trong thông tin công việc",""),IF($D204="","Thiếu trạng thái làm việc",""),IF($E204="","Thiếu ngày vào công ty",IF(OR(NOT(ISNUMBER($E204)),$E204&gt;TODAY()),"Ngày vào công ty không hợp lệ","")),IF($G204="","Thiếu phòng ban",""),IF($I204="","Thiếu chức danh",""),IF(AND($M204&lt;&gt;"",COUNTIF('01_HO_SO'!$C$6:$C$505,$M204)=0),"Mã quản lý không tồn tại",""),IF(AND($M204&lt;&gt;"",$M204=$C204),"Không thể tự quản lý chính mình",""),IF(OR($N204&lt;0,$N204&gt;1000000000),"Lương cơ bản ngoài phạm vi","")))</f>
        <v/>
      </c>
      <c r="C204" s="20" t="n"/>
      <c r="D204" s="21" t="n"/>
      <c r="E204" s="22" t="n"/>
      <c r="F204" s="21" t="n"/>
      <c r="G204" s="21" t="n"/>
      <c r="H204" s="21" t="n"/>
      <c r="I204" s="21" t="n"/>
      <c r="J204" s="19">
        <f>IF($I204="","",IFERROR(INDEX(DANH_MUC!$D$4:$D$1000,MATCH($I204,DANH_MUC!$C$4:$C$1000,0)),""))</f>
        <v/>
      </c>
      <c r="K204" s="21" t="n"/>
      <c r="L204" s="21" t="n"/>
      <c r="M204" s="20" t="n"/>
      <c r="N204" s="23" t="n"/>
      <c r="O204" s="21" t="n"/>
    </row>
    <row r="205">
      <c r="A205" s="19">
        <f>IF($C205="","CHƯA NHẬP",IF($B205="","HỢP LỆ","LỖI"))</f>
        <v/>
      </c>
      <c r="B205" s="19">
        <f>IF($C205="","",TEXTJOIN(" | ",TRUE,IF(COUNTIF('01_HO_SO'!$C$6:$C$505,$C205)=0,"Mã chưa có ở Bước 1",""),IF(COUNTIF($C$6:$C$505,$C205)&gt;1,"Trùng mã trong thông tin công việc",""),IF($D205="","Thiếu trạng thái làm việc",""),IF($E205="","Thiếu ngày vào công ty",IF(OR(NOT(ISNUMBER($E205)),$E205&gt;TODAY()),"Ngày vào công ty không hợp lệ","")),IF($G205="","Thiếu phòng ban",""),IF($I205="","Thiếu chức danh",""),IF(AND($M205&lt;&gt;"",COUNTIF('01_HO_SO'!$C$6:$C$505,$M205)=0),"Mã quản lý không tồn tại",""),IF(AND($M205&lt;&gt;"",$M205=$C205),"Không thể tự quản lý chính mình",""),IF(OR($N205&lt;0,$N205&gt;1000000000),"Lương cơ bản ngoài phạm vi","")))</f>
        <v/>
      </c>
      <c r="C205" s="20" t="n"/>
      <c r="D205" s="21" t="n"/>
      <c r="E205" s="22" t="n"/>
      <c r="F205" s="21" t="n"/>
      <c r="G205" s="21" t="n"/>
      <c r="H205" s="21" t="n"/>
      <c r="I205" s="21" t="n"/>
      <c r="J205" s="19">
        <f>IF($I205="","",IFERROR(INDEX(DANH_MUC!$D$4:$D$1000,MATCH($I205,DANH_MUC!$C$4:$C$1000,0)),""))</f>
        <v/>
      </c>
      <c r="K205" s="21" t="n"/>
      <c r="L205" s="21" t="n"/>
      <c r="M205" s="20" t="n"/>
      <c r="N205" s="23" t="n"/>
      <c r="O205" s="21" t="n"/>
    </row>
    <row r="206">
      <c r="A206" s="19">
        <f>IF($C206="","CHƯA NHẬP",IF($B206="","HỢP LỆ","LỖI"))</f>
        <v/>
      </c>
      <c r="B206" s="19">
        <f>IF($C206="","",TEXTJOIN(" | ",TRUE,IF(COUNTIF('01_HO_SO'!$C$6:$C$505,$C206)=0,"Mã chưa có ở Bước 1",""),IF(COUNTIF($C$6:$C$505,$C206)&gt;1,"Trùng mã trong thông tin công việc",""),IF($D206="","Thiếu trạng thái làm việc",""),IF($E206="","Thiếu ngày vào công ty",IF(OR(NOT(ISNUMBER($E206)),$E206&gt;TODAY()),"Ngày vào công ty không hợp lệ","")),IF($G206="","Thiếu phòng ban",""),IF($I206="","Thiếu chức danh",""),IF(AND($M206&lt;&gt;"",COUNTIF('01_HO_SO'!$C$6:$C$505,$M206)=0),"Mã quản lý không tồn tại",""),IF(AND($M206&lt;&gt;"",$M206=$C206),"Không thể tự quản lý chính mình",""),IF(OR($N206&lt;0,$N206&gt;1000000000),"Lương cơ bản ngoài phạm vi","")))</f>
        <v/>
      </c>
      <c r="C206" s="20" t="n"/>
      <c r="D206" s="21" t="n"/>
      <c r="E206" s="22" t="n"/>
      <c r="F206" s="21" t="n"/>
      <c r="G206" s="21" t="n"/>
      <c r="H206" s="21" t="n"/>
      <c r="I206" s="21" t="n"/>
      <c r="J206" s="19">
        <f>IF($I206="","",IFERROR(INDEX(DANH_MUC!$D$4:$D$1000,MATCH($I206,DANH_MUC!$C$4:$C$1000,0)),""))</f>
        <v/>
      </c>
      <c r="K206" s="21" t="n"/>
      <c r="L206" s="21" t="n"/>
      <c r="M206" s="20" t="n"/>
      <c r="N206" s="23" t="n"/>
      <c r="O206" s="21" t="n"/>
    </row>
    <row r="207">
      <c r="A207" s="19">
        <f>IF($C207="","CHƯA NHẬP",IF($B207="","HỢP LỆ","LỖI"))</f>
        <v/>
      </c>
      <c r="B207" s="19">
        <f>IF($C207="","",TEXTJOIN(" | ",TRUE,IF(COUNTIF('01_HO_SO'!$C$6:$C$505,$C207)=0,"Mã chưa có ở Bước 1",""),IF(COUNTIF($C$6:$C$505,$C207)&gt;1,"Trùng mã trong thông tin công việc",""),IF($D207="","Thiếu trạng thái làm việc",""),IF($E207="","Thiếu ngày vào công ty",IF(OR(NOT(ISNUMBER($E207)),$E207&gt;TODAY()),"Ngày vào công ty không hợp lệ","")),IF($G207="","Thiếu phòng ban",""),IF($I207="","Thiếu chức danh",""),IF(AND($M207&lt;&gt;"",COUNTIF('01_HO_SO'!$C$6:$C$505,$M207)=0),"Mã quản lý không tồn tại",""),IF(AND($M207&lt;&gt;"",$M207=$C207),"Không thể tự quản lý chính mình",""),IF(OR($N207&lt;0,$N207&gt;1000000000),"Lương cơ bản ngoài phạm vi","")))</f>
        <v/>
      </c>
      <c r="C207" s="20" t="n"/>
      <c r="D207" s="21" t="n"/>
      <c r="E207" s="22" t="n"/>
      <c r="F207" s="21" t="n"/>
      <c r="G207" s="21" t="n"/>
      <c r="H207" s="21" t="n"/>
      <c r="I207" s="21" t="n"/>
      <c r="J207" s="19">
        <f>IF($I207="","",IFERROR(INDEX(DANH_MUC!$D$4:$D$1000,MATCH($I207,DANH_MUC!$C$4:$C$1000,0)),""))</f>
        <v/>
      </c>
      <c r="K207" s="21" t="n"/>
      <c r="L207" s="21" t="n"/>
      <c r="M207" s="20" t="n"/>
      <c r="N207" s="23" t="n"/>
      <c r="O207" s="21" t="n"/>
    </row>
    <row r="208">
      <c r="A208" s="19">
        <f>IF($C208="","CHƯA NHẬP",IF($B208="","HỢP LỆ","LỖI"))</f>
        <v/>
      </c>
      <c r="B208" s="19">
        <f>IF($C208="","",TEXTJOIN(" | ",TRUE,IF(COUNTIF('01_HO_SO'!$C$6:$C$505,$C208)=0,"Mã chưa có ở Bước 1",""),IF(COUNTIF($C$6:$C$505,$C208)&gt;1,"Trùng mã trong thông tin công việc",""),IF($D208="","Thiếu trạng thái làm việc",""),IF($E208="","Thiếu ngày vào công ty",IF(OR(NOT(ISNUMBER($E208)),$E208&gt;TODAY()),"Ngày vào công ty không hợp lệ","")),IF($G208="","Thiếu phòng ban",""),IF($I208="","Thiếu chức danh",""),IF(AND($M208&lt;&gt;"",COUNTIF('01_HO_SO'!$C$6:$C$505,$M208)=0),"Mã quản lý không tồn tại",""),IF(AND($M208&lt;&gt;"",$M208=$C208),"Không thể tự quản lý chính mình",""),IF(OR($N208&lt;0,$N208&gt;1000000000),"Lương cơ bản ngoài phạm vi","")))</f>
        <v/>
      </c>
      <c r="C208" s="20" t="n"/>
      <c r="D208" s="21" t="n"/>
      <c r="E208" s="22" t="n"/>
      <c r="F208" s="21" t="n"/>
      <c r="G208" s="21" t="n"/>
      <c r="H208" s="21" t="n"/>
      <c r="I208" s="21" t="n"/>
      <c r="J208" s="19">
        <f>IF($I208="","",IFERROR(INDEX(DANH_MUC!$D$4:$D$1000,MATCH($I208,DANH_MUC!$C$4:$C$1000,0)),""))</f>
        <v/>
      </c>
      <c r="K208" s="21" t="n"/>
      <c r="L208" s="21" t="n"/>
      <c r="M208" s="20" t="n"/>
      <c r="N208" s="23" t="n"/>
      <c r="O208" s="21" t="n"/>
    </row>
    <row r="209">
      <c r="A209" s="19">
        <f>IF($C209="","CHƯA NHẬP",IF($B209="","HỢP LỆ","LỖI"))</f>
        <v/>
      </c>
      <c r="B209" s="19">
        <f>IF($C209="","",TEXTJOIN(" | ",TRUE,IF(COUNTIF('01_HO_SO'!$C$6:$C$505,$C209)=0,"Mã chưa có ở Bước 1",""),IF(COUNTIF($C$6:$C$505,$C209)&gt;1,"Trùng mã trong thông tin công việc",""),IF($D209="","Thiếu trạng thái làm việc",""),IF($E209="","Thiếu ngày vào công ty",IF(OR(NOT(ISNUMBER($E209)),$E209&gt;TODAY()),"Ngày vào công ty không hợp lệ","")),IF($G209="","Thiếu phòng ban",""),IF($I209="","Thiếu chức danh",""),IF(AND($M209&lt;&gt;"",COUNTIF('01_HO_SO'!$C$6:$C$505,$M209)=0),"Mã quản lý không tồn tại",""),IF(AND($M209&lt;&gt;"",$M209=$C209),"Không thể tự quản lý chính mình",""),IF(OR($N209&lt;0,$N209&gt;1000000000),"Lương cơ bản ngoài phạm vi","")))</f>
        <v/>
      </c>
      <c r="C209" s="20" t="n"/>
      <c r="D209" s="21" t="n"/>
      <c r="E209" s="22" t="n"/>
      <c r="F209" s="21" t="n"/>
      <c r="G209" s="21" t="n"/>
      <c r="H209" s="21" t="n"/>
      <c r="I209" s="21" t="n"/>
      <c r="J209" s="19">
        <f>IF($I209="","",IFERROR(INDEX(DANH_MUC!$D$4:$D$1000,MATCH($I209,DANH_MUC!$C$4:$C$1000,0)),""))</f>
        <v/>
      </c>
      <c r="K209" s="21" t="n"/>
      <c r="L209" s="21" t="n"/>
      <c r="M209" s="20" t="n"/>
      <c r="N209" s="23" t="n"/>
      <c r="O209" s="21" t="n"/>
    </row>
    <row r="210">
      <c r="A210" s="19">
        <f>IF($C210="","CHƯA NHẬP",IF($B210="","HỢP LỆ","LỖI"))</f>
        <v/>
      </c>
      <c r="B210" s="19">
        <f>IF($C210="","",TEXTJOIN(" | ",TRUE,IF(COUNTIF('01_HO_SO'!$C$6:$C$505,$C210)=0,"Mã chưa có ở Bước 1",""),IF(COUNTIF($C$6:$C$505,$C210)&gt;1,"Trùng mã trong thông tin công việc",""),IF($D210="","Thiếu trạng thái làm việc",""),IF($E210="","Thiếu ngày vào công ty",IF(OR(NOT(ISNUMBER($E210)),$E210&gt;TODAY()),"Ngày vào công ty không hợp lệ","")),IF($G210="","Thiếu phòng ban",""),IF($I210="","Thiếu chức danh",""),IF(AND($M210&lt;&gt;"",COUNTIF('01_HO_SO'!$C$6:$C$505,$M210)=0),"Mã quản lý không tồn tại",""),IF(AND($M210&lt;&gt;"",$M210=$C210),"Không thể tự quản lý chính mình",""),IF(OR($N210&lt;0,$N210&gt;1000000000),"Lương cơ bản ngoài phạm vi","")))</f>
        <v/>
      </c>
      <c r="C210" s="20" t="n"/>
      <c r="D210" s="21" t="n"/>
      <c r="E210" s="22" t="n"/>
      <c r="F210" s="21" t="n"/>
      <c r="G210" s="21" t="n"/>
      <c r="H210" s="21" t="n"/>
      <c r="I210" s="21" t="n"/>
      <c r="J210" s="19">
        <f>IF($I210="","",IFERROR(INDEX(DANH_MUC!$D$4:$D$1000,MATCH($I210,DANH_MUC!$C$4:$C$1000,0)),""))</f>
        <v/>
      </c>
      <c r="K210" s="21" t="n"/>
      <c r="L210" s="21" t="n"/>
      <c r="M210" s="20" t="n"/>
      <c r="N210" s="23" t="n"/>
      <c r="O210" s="21" t="n"/>
    </row>
    <row r="211">
      <c r="A211" s="19">
        <f>IF($C211="","CHƯA NHẬP",IF($B211="","HỢP LỆ","LỖI"))</f>
        <v/>
      </c>
      <c r="B211" s="19">
        <f>IF($C211="","",TEXTJOIN(" | ",TRUE,IF(COUNTIF('01_HO_SO'!$C$6:$C$505,$C211)=0,"Mã chưa có ở Bước 1",""),IF(COUNTIF($C$6:$C$505,$C211)&gt;1,"Trùng mã trong thông tin công việc",""),IF($D211="","Thiếu trạng thái làm việc",""),IF($E211="","Thiếu ngày vào công ty",IF(OR(NOT(ISNUMBER($E211)),$E211&gt;TODAY()),"Ngày vào công ty không hợp lệ","")),IF($G211="","Thiếu phòng ban",""),IF($I211="","Thiếu chức danh",""),IF(AND($M211&lt;&gt;"",COUNTIF('01_HO_SO'!$C$6:$C$505,$M211)=0),"Mã quản lý không tồn tại",""),IF(AND($M211&lt;&gt;"",$M211=$C211),"Không thể tự quản lý chính mình",""),IF(OR($N211&lt;0,$N211&gt;1000000000),"Lương cơ bản ngoài phạm vi","")))</f>
        <v/>
      </c>
      <c r="C211" s="20" t="n"/>
      <c r="D211" s="21" t="n"/>
      <c r="E211" s="22" t="n"/>
      <c r="F211" s="21" t="n"/>
      <c r="G211" s="21" t="n"/>
      <c r="H211" s="21" t="n"/>
      <c r="I211" s="21" t="n"/>
      <c r="J211" s="19">
        <f>IF($I211="","",IFERROR(INDEX(DANH_MUC!$D$4:$D$1000,MATCH($I211,DANH_MUC!$C$4:$C$1000,0)),""))</f>
        <v/>
      </c>
      <c r="K211" s="21" t="n"/>
      <c r="L211" s="21" t="n"/>
      <c r="M211" s="20" t="n"/>
      <c r="N211" s="23" t="n"/>
      <c r="O211" s="21" t="n"/>
    </row>
    <row r="212">
      <c r="A212" s="19">
        <f>IF($C212="","CHƯA NHẬP",IF($B212="","HỢP LỆ","LỖI"))</f>
        <v/>
      </c>
      <c r="B212" s="19">
        <f>IF($C212="","",TEXTJOIN(" | ",TRUE,IF(COUNTIF('01_HO_SO'!$C$6:$C$505,$C212)=0,"Mã chưa có ở Bước 1",""),IF(COUNTIF($C$6:$C$505,$C212)&gt;1,"Trùng mã trong thông tin công việc",""),IF($D212="","Thiếu trạng thái làm việc",""),IF($E212="","Thiếu ngày vào công ty",IF(OR(NOT(ISNUMBER($E212)),$E212&gt;TODAY()),"Ngày vào công ty không hợp lệ","")),IF($G212="","Thiếu phòng ban",""),IF($I212="","Thiếu chức danh",""),IF(AND($M212&lt;&gt;"",COUNTIF('01_HO_SO'!$C$6:$C$505,$M212)=0),"Mã quản lý không tồn tại",""),IF(AND($M212&lt;&gt;"",$M212=$C212),"Không thể tự quản lý chính mình",""),IF(OR($N212&lt;0,$N212&gt;1000000000),"Lương cơ bản ngoài phạm vi","")))</f>
        <v/>
      </c>
      <c r="C212" s="20" t="n"/>
      <c r="D212" s="21" t="n"/>
      <c r="E212" s="22" t="n"/>
      <c r="F212" s="21" t="n"/>
      <c r="G212" s="21" t="n"/>
      <c r="H212" s="21" t="n"/>
      <c r="I212" s="21" t="n"/>
      <c r="J212" s="19">
        <f>IF($I212="","",IFERROR(INDEX(DANH_MUC!$D$4:$D$1000,MATCH($I212,DANH_MUC!$C$4:$C$1000,0)),""))</f>
        <v/>
      </c>
      <c r="K212" s="21" t="n"/>
      <c r="L212" s="21" t="n"/>
      <c r="M212" s="20" t="n"/>
      <c r="N212" s="23" t="n"/>
      <c r="O212" s="21" t="n"/>
    </row>
    <row r="213">
      <c r="A213" s="19">
        <f>IF($C213="","CHƯA NHẬP",IF($B213="","HỢP LỆ","LỖI"))</f>
        <v/>
      </c>
      <c r="B213" s="19">
        <f>IF($C213="","",TEXTJOIN(" | ",TRUE,IF(COUNTIF('01_HO_SO'!$C$6:$C$505,$C213)=0,"Mã chưa có ở Bước 1",""),IF(COUNTIF($C$6:$C$505,$C213)&gt;1,"Trùng mã trong thông tin công việc",""),IF($D213="","Thiếu trạng thái làm việc",""),IF($E213="","Thiếu ngày vào công ty",IF(OR(NOT(ISNUMBER($E213)),$E213&gt;TODAY()),"Ngày vào công ty không hợp lệ","")),IF($G213="","Thiếu phòng ban",""),IF($I213="","Thiếu chức danh",""),IF(AND($M213&lt;&gt;"",COUNTIF('01_HO_SO'!$C$6:$C$505,$M213)=0),"Mã quản lý không tồn tại",""),IF(AND($M213&lt;&gt;"",$M213=$C213),"Không thể tự quản lý chính mình",""),IF(OR($N213&lt;0,$N213&gt;1000000000),"Lương cơ bản ngoài phạm vi","")))</f>
        <v/>
      </c>
      <c r="C213" s="20" t="n"/>
      <c r="D213" s="21" t="n"/>
      <c r="E213" s="22" t="n"/>
      <c r="F213" s="21" t="n"/>
      <c r="G213" s="21" t="n"/>
      <c r="H213" s="21" t="n"/>
      <c r="I213" s="21" t="n"/>
      <c r="J213" s="19">
        <f>IF($I213="","",IFERROR(INDEX(DANH_MUC!$D$4:$D$1000,MATCH($I213,DANH_MUC!$C$4:$C$1000,0)),""))</f>
        <v/>
      </c>
      <c r="K213" s="21" t="n"/>
      <c r="L213" s="21" t="n"/>
      <c r="M213" s="20" t="n"/>
      <c r="N213" s="23" t="n"/>
      <c r="O213" s="21" t="n"/>
    </row>
    <row r="214">
      <c r="A214" s="19">
        <f>IF($C214="","CHƯA NHẬP",IF($B214="","HỢP LỆ","LỖI"))</f>
        <v/>
      </c>
      <c r="B214" s="19">
        <f>IF($C214="","",TEXTJOIN(" | ",TRUE,IF(COUNTIF('01_HO_SO'!$C$6:$C$505,$C214)=0,"Mã chưa có ở Bước 1",""),IF(COUNTIF($C$6:$C$505,$C214)&gt;1,"Trùng mã trong thông tin công việc",""),IF($D214="","Thiếu trạng thái làm việc",""),IF($E214="","Thiếu ngày vào công ty",IF(OR(NOT(ISNUMBER($E214)),$E214&gt;TODAY()),"Ngày vào công ty không hợp lệ","")),IF($G214="","Thiếu phòng ban",""),IF($I214="","Thiếu chức danh",""),IF(AND($M214&lt;&gt;"",COUNTIF('01_HO_SO'!$C$6:$C$505,$M214)=0),"Mã quản lý không tồn tại",""),IF(AND($M214&lt;&gt;"",$M214=$C214),"Không thể tự quản lý chính mình",""),IF(OR($N214&lt;0,$N214&gt;1000000000),"Lương cơ bản ngoài phạm vi","")))</f>
        <v/>
      </c>
      <c r="C214" s="20" t="n"/>
      <c r="D214" s="21" t="n"/>
      <c r="E214" s="22" t="n"/>
      <c r="F214" s="21" t="n"/>
      <c r="G214" s="21" t="n"/>
      <c r="H214" s="21" t="n"/>
      <c r="I214" s="21" t="n"/>
      <c r="J214" s="19">
        <f>IF($I214="","",IFERROR(INDEX(DANH_MUC!$D$4:$D$1000,MATCH($I214,DANH_MUC!$C$4:$C$1000,0)),""))</f>
        <v/>
      </c>
      <c r="K214" s="21" t="n"/>
      <c r="L214" s="21" t="n"/>
      <c r="M214" s="20" t="n"/>
      <c r="N214" s="23" t="n"/>
      <c r="O214" s="21" t="n"/>
    </row>
    <row r="215">
      <c r="A215" s="19">
        <f>IF($C215="","CHƯA NHẬP",IF($B215="","HỢP LỆ","LỖI"))</f>
        <v/>
      </c>
      <c r="B215" s="19">
        <f>IF($C215="","",TEXTJOIN(" | ",TRUE,IF(COUNTIF('01_HO_SO'!$C$6:$C$505,$C215)=0,"Mã chưa có ở Bước 1",""),IF(COUNTIF($C$6:$C$505,$C215)&gt;1,"Trùng mã trong thông tin công việc",""),IF($D215="","Thiếu trạng thái làm việc",""),IF($E215="","Thiếu ngày vào công ty",IF(OR(NOT(ISNUMBER($E215)),$E215&gt;TODAY()),"Ngày vào công ty không hợp lệ","")),IF($G215="","Thiếu phòng ban",""),IF($I215="","Thiếu chức danh",""),IF(AND($M215&lt;&gt;"",COUNTIF('01_HO_SO'!$C$6:$C$505,$M215)=0),"Mã quản lý không tồn tại",""),IF(AND($M215&lt;&gt;"",$M215=$C215),"Không thể tự quản lý chính mình",""),IF(OR($N215&lt;0,$N215&gt;1000000000),"Lương cơ bản ngoài phạm vi","")))</f>
        <v/>
      </c>
      <c r="C215" s="20" t="n"/>
      <c r="D215" s="21" t="n"/>
      <c r="E215" s="22" t="n"/>
      <c r="F215" s="21" t="n"/>
      <c r="G215" s="21" t="n"/>
      <c r="H215" s="21" t="n"/>
      <c r="I215" s="21" t="n"/>
      <c r="J215" s="19">
        <f>IF($I215="","",IFERROR(INDEX(DANH_MUC!$D$4:$D$1000,MATCH($I215,DANH_MUC!$C$4:$C$1000,0)),""))</f>
        <v/>
      </c>
      <c r="K215" s="21" t="n"/>
      <c r="L215" s="21" t="n"/>
      <c r="M215" s="20" t="n"/>
      <c r="N215" s="23" t="n"/>
      <c r="O215" s="21" t="n"/>
    </row>
    <row r="216">
      <c r="A216" s="19">
        <f>IF($C216="","CHƯA NHẬP",IF($B216="","HỢP LỆ","LỖI"))</f>
        <v/>
      </c>
      <c r="B216" s="19">
        <f>IF($C216="","",TEXTJOIN(" | ",TRUE,IF(COUNTIF('01_HO_SO'!$C$6:$C$505,$C216)=0,"Mã chưa có ở Bước 1",""),IF(COUNTIF($C$6:$C$505,$C216)&gt;1,"Trùng mã trong thông tin công việc",""),IF($D216="","Thiếu trạng thái làm việc",""),IF($E216="","Thiếu ngày vào công ty",IF(OR(NOT(ISNUMBER($E216)),$E216&gt;TODAY()),"Ngày vào công ty không hợp lệ","")),IF($G216="","Thiếu phòng ban",""),IF($I216="","Thiếu chức danh",""),IF(AND($M216&lt;&gt;"",COUNTIF('01_HO_SO'!$C$6:$C$505,$M216)=0),"Mã quản lý không tồn tại",""),IF(AND($M216&lt;&gt;"",$M216=$C216),"Không thể tự quản lý chính mình",""),IF(OR($N216&lt;0,$N216&gt;1000000000),"Lương cơ bản ngoài phạm vi","")))</f>
        <v/>
      </c>
      <c r="C216" s="20" t="n"/>
      <c r="D216" s="21" t="n"/>
      <c r="E216" s="22" t="n"/>
      <c r="F216" s="21" t="n"/>
      <c r="G216" s="21" t="n"/>
      <c r="H216" s="21" t="n"/>
      <c r="I216" s="21" t="n"/>
      <c r="J216" s="19">
        <f>IF($I216="","",IFERROR(INDEX(DANH_MUC!$D$4:$D$1000,MATCH($I216,DANH_MUC!$C$4:$C$1000,0)),""))</f>
        <v/>
      </c>
      <c r="K216" s="21" t="n"/>
      <c r="L216" s="21" t="n"/>
      <c r="M216" s="20" t="n"/>
      <c r="N216" s="23" t="n"/>
      <c r="O216" s="21" t="n"/>
    </row>
    <row r="217">
      <c r="A217" s="19">
        <f>IF($C217="","CHƯA NHẬP",IF($B217="","HỢP LỆ","LỖI"))</f>
        <v/>
      </c>
      <c r="B217" s="19">
        <f>IF($C217="","",TEXTJOIN(" | ",TRUE,IF(COUNTIF('01_HO_SO'!$C$6:$C$505,$C217)=0,"Mã chưa có ở Bước 1",""),IF(COUNTIF($C$6:$C$505,$C217)&gt;1,"Trùng mã trong thông tin công việc",""),IF($D217="","Thiếu trạng thái làm việc",""),IF($E217="","Thiếu ngày vào công ty",IF(OR(NOT(ISNUMBER($E217)),$E217&gt;TODAY()),"Ngày vào công ty không hợp lệ","")),IF($G217="","Thiếu phòng ban",""),IF($I217="","Thiếu chức danh",""),IF(AND($M217&lt;&gt;"",COUNTIF('01_HO_SO'!$C$6:$C$505,$M217)=0),"Mã quản lý không tồn tại",""),IF(AND($M217&lt;&gt;"",$M217=$C217),"Không thể tự quản lý chính mình",""),IF(OR($N217&lt;0,$N217&gt;1000000000),"Lương cơ bản ngoài phạm vi","")))</f>
        <v/>
      </c>
      <c r="C217" s="20" t="n"/>
      <c r="D217" s="21" t="n"/>
      <c r="E217" s="22" t="n"/>
      <c r="F217" s="21" t="n"/>
      <c r="G217" s="21" t="n"/>
      <c r="H217" s="21" t="n"/>
      <c r="I217" s="21" t="n"/>
      <c r="J217" s="19">
        <f>IF($I217="","",IFERROR(INDEX(DANH_MUC!$D$4:$D$1000,MATCH($I217,DANH_MUC!$C$4:$C$1000,0)),""))</f>
        <v/>
      </c>
      <c r="K217" s="21" t="n"/>
      <c r="L217" s="21" t="n"/>
      <c r="M217" s="20" t="n"/>
      <c r="N217" s="23" t="n"/>
      <c r="O217" s="21" t="n"/>
    </row>
    <row r="218">
      <c r="A218" s="19">
        <f>IF($C218="","CHƯA NHẬP",IF($B218="","HỢP LỆ","LỖI"))</f>
        <v/>
      </c>
      <c r="B218" s="19">
        <f>IF($C218="","",TEXTJOIN(" | ",TRUE,IF(COUNTIF('01_HO_SO'!$C$6:$C$505,$C218)=0,"Mã chưa có ở Bước 1",""),IF(COUNTIF($C$6:$C$505,$C218)&gt;1,"Trùng mã trong thông tin công việc",""),IF($D218="","Thiếu trạng thái làm việc",""),IF($E218="","Thiếu ngày vào công ty",IF(OR(NOT(ISNUMBER($E218)),$E218&gt;TODAY()),"Ngày vào công ty không hợp lệ","")),IF($G218="","Thiếu phòng ban",""),IF($I218="","Thiếu chức danh",""),IF(AND($M218&lt;&gt;"",COUNTIF('01_HO_SO'!$C$6:$C$505,$M218)=0),"Mã quản lý không tồn tại",""),IF(AND($M218&lt;&gt;"",$M218=$C218),"Không thể tự quản lý chính mình",""),IF(OR($N218&lt;0,$N218&gt;1000000000),"Lương cơ bản ngoài phạm vi","")))</f>
        <v/>
      </c>
      <c r="C218" s="20" t="n"/>
      <c r="D218" s="21" t="n"/>
      <c r="E218" s="22" t="n"/>
      <c r="F218" s="21" t="n"/>
      <c r="G218" s="21" t="n"/>
      <c r="H218" s="21" t="n"/>
      <c r="I218" s="21" t="n"/>
      <c r="J218" s="19">
        <f>IF($I218="","",IFERROR(INDEX(DANH_MUC!$D$4:$D$1000,MATCH($I218,DANH_MUC!$C$4:$C$1000,0)),""))</f>
        <v/>
      </c>
      <c r="K218" s="21" t="n"/>
      <c r="L218" s="21" t="n"/>
      <c r="M218" s="20" t="n"/>
      <c r="N218" s="23" t="n"/>
      <c r="O218" s="21" t="n"/>
    </row>
    <row r="219">
      <c r="A219" s="19">
        <f>IF($C219="","CHƯA NHẬP",IF($B219="","HỢP LỆ","LỖI"))</f>
        <v/>
      </c>
      <c r="B219" s="19">
        <f>IF($C219="","",TEXTJOIN(" | ",TRUE,IF(COUNTIF('01_HO_SO'!$C$6:$C$505,$C219)=0,"Mã chưa có ở Bước 1",""),IF(COUNTIF($C$6:$C$505,$C219)&gt;1,"Trùng mã trong thông tin công việc",""),IF($D219="","Thiếu trạng thái làm việc",""),IF($E219="","Thiếu ngày vào công ty",IF(OR(NOT(ISNUMBER($E219)),$E219&gt;TODAY()),"Ngày vào công ty không hợp lệ","")),IF($G219="","Thiếu phòng ban",""),IF($I219="","Thiếu chức danh",""),IF(AND($M219&lt;&gt;"",COUNTIF('01_HO_SO'!$C$6:$C$505,$M219)=0),"Mã quản lý không tồn tại",""),IF(AND($M219&lt;&gt;"",$M219=$C219),"Không thể tự quản lý chính mình",""),IF(OR($N219&lt;0,$N219&gt;1000000000),"Lương cơ bản ngoài phạm vi","")))</f>
        <v/>
      </c>
      <c r="C219" s="20" t="n"/>
      <c r="D219" s="21" t="n"/>
      <c r="E219" s="22" t="n"/>
      <c r="F219" s="21" t="n"/>
      <c r="G219" s="21" t="n"/>
      <c r="H219" s="21" t="n"/>
      <c r="I219" s="21" t="n"/>
      <c r="J219" s="19">
        <f>IF($I219="","",IFERROR(INDEX(DANH_MUC!$D$4:$D$1000,MATCH($I219,DANH_MUC!$C$4:$C$1000,0)),""))</f>
        <v/>
      </c>
      <c r="K219" s="21" t="n"/>
      <c r="L219" s="21" t="n"/>
      <c r="M219" s="20" t="n"/>
      <c r="N219" s="23" t="n"/>
      <c r="O219" s="21" t="n"/>
    </row>
    <row r="220">
      <c r="A220" s="19">
        <f>IF($C220="","CHƯA NHẬP",IF($B220="","HỢP LỆ","LỖI"))</f>
        <v/>
      </c>
      <c r="B220" s="19">
        <f>IF($C220="","",TEXTJOIN(" | ",TRUE,IF(COUNTIF('01_HO_SO'!$C$6:$C$505,$C220)=0,"Mã chưa có ở Bước 1",""),IF(COUNTIF($C$6:$C$505,$C220)&gt;1,"Trùng mã trong thông tin công việc",""),IF($D220="","Thiếu trạng thái làm việc",""),IF($E220="","Thiếu ngày vào công ty",IF(OR(NOT(ISNUMBER($E220)),$E220&gt;TODAY()),"Ngày vào công ty không hợp lệ","")),IF($G220="","Thiếu phòng ban",""),IF($I220="","Thiếu chức danh",""),IF(AND($M220&lt;&gt;"",COUNTIF('01_HO_SO'!$C$6:$C$505,$M220)=0),"Mã quản lý không tồn tại",""),IF(AND($M220&lt;&gt;"",$M220=$C220),"Không thể tự quản lý chính mình",""),IF(OR($N220&lt;0,$N220&gt;1000000000),"Lương cơ bản ngoài phạm vi","")))</f>
        <v/>
      </c>
      <c r="C220" s="20" t="n"/>
      <c r="D220" s="21" t="n"/>
      <c r="E220" s="22" t="n"/>
      <c r="F220" s="21" t="n"/>
      <c r="G220" s="21" t="n"/>
      <c r="H220" s="21" t="n"/>
      <c r="I220" s="21" t="n"/>
      <c r="J220" s="19">
        <f>IF($I220="","",IFERROR(INDEX(DANH_MUC!$D$4:$D$1000,MATCH($I220,DANH_MUC!$C$4:$C$1000,0)),""))</f>
        <v/>
      </c>
      <c r="K220" s="21" t="n"/>
      <c r="L220" s="21" t="n"/>
      <c r="M220" s="20" t="n"/>
      <c r="N220" s="23" t="n"/>
      <c r="O220" s="21" t="n"/>
    </row>
    <row r="221">
      <c r="A221" s="19">
        <f>IF($C221="","CHƯA NHẬP",IF($B221="","HỢP LỆ","LỖI"))</f>
        <v/>
      </c>
      <c r="B221" s="19">
        <f>IF($C221="","",TEXTJOIN(" | ",TRUE,IF(COUNTIF('01_HO_SO'!$C$6:$C$505,$C221)=0,"Mã chưa có ở Bước 1",""),IF(COUNTIF($C$6:$C$505,$C221)&gt;1,"Trùng mã trong thông tin công việc",""),IF($D221="","Thiếu trạng thái làm việc",""),IF($E221="","Thiếu ngày vào công ty",IF(OR(NOT(ISNUMBER($E221)),$E221&gt;TODAY()),"Ngày vào công ty không hợp lệ","")),IF($G221="","Thiếu phòng ban",""),IF($I221="","Thiếu chức danh",""),IF(AND($M221&lt;&gt;"",COUNTIF('01_HO_SO'!$C$6:$C$505,$M221)=0),"Mã quản lý không tồn tại",""),IF(AND($M221&lt;&gt;"",$M221=$C221),"Không thể tự quản lý chính mình",""),IF(OR($N221&lt;0,$N221&gt;1000000000),"Lương cơ bản ngoài phạm vi","")))</f>
        <v/>
      </c>
      <c r="C221" s="20" t="n"/>
      <c r="D221" s="21" t="n"/>
      <c r="E221" s="22" t="n"/>
      <c r="F221" s="21" t="n"/>
      <c r="G221" s="21" t="n"/>
      <c r="H221" s="21" t="n"/>
      <c r="I221" s="21" t="n"/>
      <c r="J221" s="19">
        <f>IF($I221="","",IFERROR(INDEX(DANH_MUC!$D$4:$D$1000,MATCH($I221,DANH_MUC!$C$4:$C$1000,0)),""))</f>
        <v/>
      </c>
      <c r="K221" s="21" t="n"/>
      <c r="L221" s="21" t="n"/>
      <c r="M221" s="20" t="n"/>
      <c r="N221" s="23" t="n"/>
      <c r="O221" s="21" t="n"/>
    </row>
    <row r="222">
      <c r="A222" s="19">
        <f>IF($C222="","CHƯA NHẬP",IF($B222="","HỢP LỆ","LỖI"))</f>
        <v/>
      </c>
      <c r="B222" s="19">
        <f>IF($C222="","",TEXTJOIN(" | ",TRUE,IF(COUNTIF('01_HO_SO'!$C$6:$C$505,$C222)=0,"Mã chưa có ở Bước 1",""),IF(COUNTIF($C$6:$C$505,$C222)&gt;1,"Trùng mã trong thông tin công việc",""),IF($D222="","Thiếu trạng thái làm việc",""),IF($E222="","Thiếu ngày vào công ty",IF(OR(NOT(ISNUMBER($E222)),$E222&gt;TODAY()),"Ngày vào công ty không hợp lệ","")),IF($G222="","Thiếu phòng ban",""),IF($I222="","Thiếu chức danh",""),IF(AND($M222&lt;&gt;"",COUNTIF('01_HO_SO'!$C$6:$C$505,$M222)=0),"Mã quản lý không tồn tại",""),IF(AND($M222&lt;&gt;"",$M222=$C222),"Không thể tự quản lý chính mình",""),IF(OR($N222&lt;0,$N222&gt;1000000000),"Lương cơ bản ngoài phạm vi","")))</f>
        <v/>
      </c>
      <c r="C222" s="20" t="n"/>
      <c r="D222" s="21" t="n"/>
      <c r="E222" s="22" t="n"/>
      <c r="F222" s="21" t="n"/>
      <c r="G222" s="21" t="n"/>
      <c r="H222" s="21" t="n"/>
      <c r="I222" s="21" t="n"/>
      <c r="J222" s="19">
        <f>IF($I222="","",IFERROR(INDEX(DANH_MUC!$D$4:$D$1000,MATCH($I222,DANH_MUC!$C$4:$C$1000,0)),""))</f>
        <v/>
      </c>
      <c r="K222" s="21" t="n"/>
      <c r="L222" s="21" t="n"/>
      <c r="M222" s="20" t="n"/>
      <c r="N222" s="23" t="n"/>
      <c r="O222" s="21" t="n"/>
    </row>
    <row r="223">
      <c r="A223" s="19">
        <f>IF($C223="","CHƯA NHẬP",IF($B223="","HỢP LỆ","LỖI"))</f>
        <v/>
      </c>
      <c r="B223" s="19">
        <f>IF($C223="","",TEXTJOIN(" | ",TRUE,IF(COUNTIF('01_HO_SO'!$C$6:$C$505,$C223)=0,"Mã chưa có ở Bước 1",""),IF(COUNTIF($C$6:$C$505,$C223)&gt;1,"Trùng mã trong thông tin công việc",""),IF($D223="","Thiếu trạng thái làm việc",""),IF($E223="","Thiếu ngày vào công ty",IF(OR(NOT(ISNUMBER($E223)),$E223&gt;TODAY()),"Ngày vào công ty không hợp lệ","")),IF($G223="","Thiếu phòng ban",""),IF($I223="","Thiếu chức danh",""),IF(AND($M223&lt;&gt;"",COUNTIF('01_HO_SO'!$C$6:$C$505,$M223)=0),"Mã quản lý không tồn tại",""),IF(AND($M223&lt;&gt;"",$M223=$C223),"Không thể tự quản lý chính mình",""),IF(OR($N223&lt;0,$N223&gt;1000000000),"Lương cơ bản ngoài phạm vi","")))</f>
        <v/>
      </c>
      <c r="C223" s="20" t="n"/>
      <c r="D223" s="21" t="n"/>
      <c r="E223" s="22" t="n"/>
      <c r="F223" s="21" t="n"/>
      <c r="G223" s="21" t="n"/>
      <c r="H223" s="21" t="n"/>
      <c r="I223" s="21" t="n"/>
      <c r="J223" s="19">
        <f>IF($I223="","",IFERROR(INDEX(DANH_MUC!$D$4:$D$1000,MATCH($I223,DANH_MUC!$C$4:$C$1000,0)),""))</f>
        <v/>
      </c>
      <c r="K223" s="21" t="n"/>
      <c r="L223" s="21" t="n"/>
      <c r="M223" s="20" t="n"/>
      <c r="N223" s="23" t="n"/>
      <c r="O223" s="21" t="n"/>
    </row>
    <row r="224">
      <c r="A224" s="19">
        <f>IF($C224="","CHƯA NHẬP",IF($B224="","HỢP LỆ","LỖI"))</f>
        <v/>
      </c>
      <c r="B224" s="19">
        <f>IF($C224="","",TEXTJOIN(" | ",TRUE,IF(COUNTIF('01_HO_SO'!$C$6:$C$505,$C224)=0,"Mã chưa có ở Bước 1",""),IF(COUNTIF($C$6:$C$505,$C224)&gt;1,"Trùng mã trong thông tin công việc",""),IF($D224="","Thiếu trạng thái làm việc",""),IF($E224="","Thiếu ngày vào công ty",IF(OR(NOT(ISNUMBER($E224)),$E224&gt;TODAY()),"Ngày vào công ty không hợp lệ","")),IF($G224="","Thiếu phòng ban",""),IF($I224="","Thiếu chức danh",""),IF(AND($M224&lt;&gt;"",COUNTIF('01_HO_SO'!$C$6:$C$505,$M224)=0),"Mã quản lý không tồn tại",""),IF(AND($M224&lt;&gt;"",$M224=$C224),"Không thể tự quản lý chính mình",""),IF(OR($N224&lt;0,$N224&gt;1000000000),"Lương cơ bản ngoài phạm vi","")))</f>
        <v/>
      </c>
      <c r="C224" s="20" t="n"/>
      <c r="D224" s="21" t="n"/>
      <c r="E224" s="22" t="n"/>
      <c r="F224" s="21" t="n"/>
      <c r="G224" s="21" t="n"/>
      <c r="H224" s="21" t="n"/>
      <c r="I224" s="21" t="n"/>
      <c r="J224" s="19">
        <f>IF($I224="","",IFERROR(INDEX(DANH_MUC!$D$4:$D$1000,MATCH($I224,DANH_MUC!$C$4:$C$1000,0)),""))</f>
        <v/>
      </c>
      <c r="K224" s="21" t="n"/>
      <c r="L224" s="21" t="n"/>
      <c r="M224" s="20" t="n"/>
      <c r="N224" s="23" t="n"/>
      <c r="O224" s="21" t="n"/>
    </row>
    <row r="225">
      <c r="A225" s="19">
        <f>IF($C225="","CHƯA NHẬP",IF($B225="","HỢP LỆ","LỖI"))</f>
        <v/>
      </c>
      <c r="B225" s="19">
        <f>IF($C225="","",TEXTJOIN(" | ",TRUE,IF(COUNTIF('01_HO_SO'!$C$6:$C$505,$C225)=0,"Mã chưa có ở Bước 1",""),IF(COUNTIF($C$6:$C$505,$C225)&gt;1,"Trùng mã trong thông tin công việc",""),IF($D225="","Thiếu trạng thái làm việc",""),IF($E225="","Thiếu ngày vào công ty",IF(OR(NOT(ISNUMBER($E225)),$E225&gt;TODAY()),"Ngày vào công ty không hợp lệ","")),IF($G225="","Thiếu phòng ban",""),IF($I225="","Thiếu chức danh",""),IF(AND($M225&lt;&gt;"",COUNTIF('01_HO_SO'!$C$6:$C$505,$M225)=0),"Mã quản lý không tồn tại",""),IF(AND($M225&lt;&gt;"",$M225=$C225),"Không thể tự quản lý chính mình",""),IF(OR($N225&lt;0,$N225&gt;1000000000),"Lương cơ bản ngoài phạm vi","")))</f>
        <v/>
      </c>
      <c r="C225" s="20" t="n"/>
      <c r="D225" s="21" t="n"/>
      <c r="E225" s="22" t="n"/>
      <c r="F225" s="21" t="n"/>
      <c r="G225" s="21" t="n"/>
      <c r="H225" s="21" t="n"/>
      <c r="I225" s="21" t="n"/>
      <c r="J225" s="19">
        <f>IF($I225="","",IFERROR(INDEX(DANH_MUC!$D$4:$D$1000,MATCH($I225,DANH_MUC!$C$4:$C$1000,0)),""))</f>
        <v/>
      </c>
      <c r="K225" s="21" t="n"/>
      <c r="L225" s="21" t="n"/>
      <c r="M225" s="20" t="n"/>
      <c r="N225" s="23" t="n"/>
      <c r="O225" s="21" t="n"/>
    </row>
    <row r="226">
      <c r="A226" s="19">
        <f>IF($C226="","CHƯA NHẬP",IF($B226="","HỢP LỆ","LỖI"))</f>
        <v/>
      </c>
      <c r="B226" s="19">
        <f>IF($C226="","",TEXTJOIN(" | ",TRUE,IF(COUNTIF('01_HO_SO'!$C$6:$C$505,$C226)=0,"Mã chưa có ở Bước 1",""),IF(COUNTIF($C$6:$C$505,$C226)&gt;1,"Trùng mã trong thông tin công việc",""),IF($D226="","Thiếu trạng thái làm việc",""),IF($E226="","Thiếu ngày vào công ty",IF(OR(NOT(ISNUMBER($E226)),$E226&gt;TODAY()),"Ngày vào công ty không hợp lệ","")),IF($G226="","Thiếu phòng ban",""),IF($I226="","Thiếu chức danh",""),IF(AND($M226&lt;&gt;"",COUNTIF('01_HO_SO'!$C$6:$C$505,$M226)=0),"Mã quản lý không tồn tại",""),IF(AND($M226&lt;&gt;"",$M226=$C226),"Không thể tự quản lý chính mình",""),IF(OR($N226&lt;0,$N226&gt;1000000000),"Lương cơ bản ngoài phạm vi","")))</f>
        <v/>
      </c>
      <c r="C226" s="20" t="n"/>
      <c r="D226" s="21" t="n"/>
      <c r="E226" s="22" t="n"/>
      <c r="F226" s="21" t="n"/>
      <c r="G226" s="21" t="n"/>
      <c r="H226" s="21" t="n"/>
      <c r="I226" s="21" t="n"/>
      <c r="J226" s="19">
        <f>IF($I226="","",IFERROR(INDEX(DANH_MUC!$D$4:$D$1000,MATCH($I226,DANH_MUC!$C$4:$C$1000,0)),""))</f>
        <v/>
      </c>
      <c r="K226" s="21" t="n"/>
      <c r="L226" s="21" t="n"/>
      <c r="M226" s="20" t="n"/>
      <c r="N226" s="23" t="n"/>
      <c r="O226" s="21" t="n"/>
    </row>
    <row r="227">
      <c r="A227" s="19">
        <f>IF($C227="","CHƯA NHẬP",IF($B227="","HỢP LỆ","LỖI"))</f>
        <v/>
      </c>
      <c r="B227" s="19">
        <f>IF($C227="","",TEXTJOIN(" | ",TRUE,IF(COUNTIF('01_HO_SO'!$C$6:$C$505,$C227)=0,"Mã chưa có ở Bước 1",""),IF(COUNTIF($C$6:$C$505,$C227)&gt;1,"Trùng mã trong thông tin công việc",""),IF($D227="","Thiếu trạng thái làm việc",""),IF($E227="","Thiếu ngày vào công ty",IF(OR(NOT(ISNUMBER($E227)),$E227&gt;TODAY()),"Ngày vào công ty không hợp lệ","")),IF($G227="","Thiếu phòng ban",""),IF($I227="","Thiếu chức danh",""),IF(AND($M227&lt;&gt;"",COUNTIF('01_HO_SO'!$C$6:$C$505,$M227)=0),"Mã quản lý không tồn tại",""),IF(AND($M227&lt;&gt;"",$M227=$C227),"Không thể tự quản lý chính mình",""),IF(OR($N227&lt;0,$N227&gt;1000000000),"Lương cơ bản ngoài phạm vi","")))</f>
        <v/>
      </c>
      <c r="C227" s="20" t="n"/>
      <c r="D227" s="21" t="n"/>
      <c r="E227" s="22" t="n"/>
      <c r="F227" s="21" t="n"/>
      <c r="G227" s="21" t="n"/>
      <c r="H227" s="21" t="n"/>
      <c r="I227" s="21" t="n"/>
      <c r="J227" s="19">
        <f>IF($I227="","",IFERROR(INDEX(DANH_MUC!$D$4:$D$1000,MATCH($I227,DANH_MUC!$C$4:$C$1000,0)),""))</f>
        <v/>
      </c>
      <c r="K227" s="21" t="n"/>
      <c r="L227" s="21" t="n"/>
      <c r="M227" s="20" t="n"/>
      <c r="N227" s="23" t="n"/>
      <c r="O227" s="21" t="n"/>
    </row>
    <row r="228">
      <c r="A228" s="19">
        <f>IF($C228="","CHƯA NHẬP",IF($B228="","HỢP LỆ","LỖI"))</f>
        <v/>
      </c>
      <c r="B228" s="19">
        <f>IF($C228="","",TEXTJOIN(" | ",TRUE,IF(COUNTIF('01_HO_SO'!$C$6:$C$505,$C228)=0,"Mã chưa có ở Bước 1",""),IF(COUNTIF($C$6:$C$505,$C228)&gt;1,"Trùng mã trong thông tin công việc",""),IF($D228="","Thiếu trạng thái làm việc",""),IF($E228="","Thiếu ngày vào công ty",IF(OR(NOT(ISNUMBER($E228)),$E228&gt;TODAY()),"Ngày vào công ty không hợp lệ","")),IF($G228="","Thiếu phòng ban",""),IF($I228="","Thiếu chức danh",""),IF(AND($M228&lt;&gt;"",COUNTIF('01_HO_SO'!$C$6:$C$505,$M228)=0),"Mã quản lý không tồn tại",""),IF(AND($M228&lt;&gt;"",$M228=$C228),"Không thể tự quản lý chính mình",""),IF(OR($N228&lt;0,$N228&gt;1000000000),"Lương cơ bản ngoài phạm vi","")))</f>
        <v/>
      </c>
      <c r="C228" s="20" t="n"/>
      <c r="D228" s="21" t="n"/>
      <c r="E228" s="22" t="n"/>
      <c r="F228" s="21" t="n"/>
      <c r="G228" s="21" t="n"/>
      <c r="H228" s="21" t="n"/>
      <c r="I228" s="21" t="n"/>
      <c r="J228" s="19">
        <f>IF($I228="","",IFERROR(INDEX(DANH_MUC!$D$4:$D$1000,MATCH($I228,DANH_MUC!$C$4:$C$1000,0)),""))</f>
        <v/>
      </c>
      <c r="K228" s="21" t="n"/>
      <c r="L228" s="21" t="n"/>
      <c r="M228" s="20" t="n"/>
      <c r="N228" s="23" t="n"/>
      <c r="O228" s="21" t="n"/>
    </row>
    <row r="229">
      <c r="A229" s="19">
        <f>IF($C229="","CHƯA NHẬP",IF($B229="","HỢP LỆ","LỖI"))</f>
        <v/>
      </c>
      <c r="B229" s="19">
        <f>IF($C229="","",TEXTJOIN(" | ",TRUE,IF(COUNTIF('01_HO_SO'!$C$6:$C$505,$C229)=0,"Mã chưa có ở Bước 1",""),IF(COUNTIF($C$6:$C$505,$C229)&gt;1,"Trùng mã trong thông tin công việc",""),IF($D229="","Thiếu trạng thái làm việc",""),IF($E229="","Thiếu ngày vào công ty",IF(OR(NOT(ISNUMBER($E229)),$E229&gt;TODAY()),"Ngày vào công ty không hợp lệ","")),IF($G229="","Thiếu phòng ban",""),IF($I229="","Thiếu chức danh",""),IF(AND($M229&lt;&gt;"",COUNTIF('01_HO_SO'!$C$6:$C$505,$M229)=0),"Mã quản lý không tồn tại",""),IF(AND($M229&lt;&gt;"",$M229=$C229),"Không thể tự quản lý chính mình",""),IF(OR($N229&lt;0,$N229&gt;1000000000),"Lương cơ bản ngoài phạm vi","")))</f>
        <v/>
      </c>
      <c r="C229" s="20" t="n"/>
      <c r="D229" s="21" t="n"/>
      <c r="E229" s="22" t="n"/>
      <c r="F229" s="21" t="n"/>
      <c r="G229" s="21" t="n"/>
      <c r="H229" s="21" t="n"/>
      <c r="I229" s="21" t="n"/>
      <c r="J229" s="19">
        <f>IF($I229="","",IFERROR(INDEX(DANH_MUC!$D$4:$D$1000,MATCH($I229,DANH_MUC!$C$4:$C$1000,0)),""))</f>
        <v/>
      </c>
      <c r="K229" s="21" t="n"/>
      <c r="L229" s="21" t="n"/>
      <c r="M229" s="20" t="n"/>
      <c r="N229" s="23" t="n"/>
      <c r="O229" s="21" t="n"/>
    </row>
    <row r="230">
      <c r="A230" s="19">
        <f>IF($C230="","CHƯA NHẬP",IF($B230="","HỢP LỆ","LỖI"))</f>
        <v/>
      </c>
      <c r="B230" s="19">
        <f>IF($C230="","",TEXTJOIN(" | ",TRUE,IF(COUNTIF('01_HO_SO'!$C$6:$C$505,$C230)=0,"Mã chưa có ở Bước 1",""),IF(COUNTIF($C$6:$C$505,$C230)&gt;1,"Trùng mã trong thông tin công việc",""),IF($D230="","Thiếu trạng thái làm việc",""),IF($E230="","Thiếu ngày vào công ty",IF(OR(NOT(ISNUMBER($E230)),$E230&gt;TODAY()),"Ngày vào công ty không hợp lệ","")),IF($G230="","Thiếu phòng ban",""),IF($I230="","Thiếu chức danh",""),IF(AND($M230&lt;&gt;"",COUNTIF('01_HO_SO'!$C$6:$C$505,$M230)=0),"Mã quản lý không tồn tại",""),IF(AND($M230&lt;&gt;"",$M230=$C230),"Không thể tự quản lý chính mình",""),IF(OR($N230&lt;0,$N230&gt;1000000000),"Lương cơ bản ngoài phạm vi","")))</f>
        <v/>
      </c>
      <c r="C230" s="20" t="n"/>
      <c r="D230" s="21" t="n"/>
      <c r="E230" s="22" t="n"/>
      <c r="F230" s="21" t="n"/>
      <c r="G230" s="21" t="n"/>
      <c r="H230" s="21" t="n"/>
      <c r="I230" s="21" t="n"/>
      <c r="J230" s="19">
        <f>IF($I230="","",IFERROR(INDEX(DANH_MUC!$D$4:$D$1000,MATCH($I230,DANH_MUC!$C$4:$C$1000,0)),""))</f>
        <v/>
      </c>
      <c r="K230" s="21" t="n"/>
      <c r="L230" s="21" t="n"/>
      <c r="M230" s="20" t="n"/>
      <c r="N230" s="23" t="n"/>
      <c r="O230" s="21" t="n"/>
    </row>
    <row r="231">
      <c r="A231" s="19">
        <f>IF($C231="","CHƯA NHẬP",IF($B231="","HỢP LỆ","LỖI"))</f>
        <v/>
      </c>
      <c r="B231" s="19">
        <f>IF($C231="","",TEXTJOIN(" | ",TRUE,IF(COUNTIF('01_HO_SO'!$C$6:$C$505,$C231)=0,"Mã chưa có ở Bước 1",""),IF(COUNTIF($C$6:$C$505,$C231)&gt;1,"Trùng mã trong thông tin công việc",""),IF($D231="","Thiếu trạng thái làm việc",""),IF($E231="","Thiếu ngày vào công ty",IF(OR(NOT(ISNUMBER($E231)),$E231&gt;TODAY()),"Ngày vào công ty không hợp lệ","")),IF($G231="","Thiếu phòng ban",""),IF($I231="","Thiếu chức danh",""),IF(AND($M231&lt;&gt;"",COUNTIF('01_HO_SO'!$C$6:$C$505,$M231)=0),"Mã quản lý không tồn tại",""),IF(AND($M231&lt;&gt;"",$M231=$C231),"Không thể tự quản lý chính mình",""),IF(OR($N231&lt;0,$N231&gt;1000000000),"Lương cơ bản ngoài phạm vi","")))</f>
        <v/>
      </c>
      <c r="C231" s="20" t="n"/>
      <c r="D231" s="21" t="n"/>
      <c r="E231" s="22" t="n"/>
      <c r="F231" s="21" t="n"/>
      <c r="G231" s="21" t="n"/>
      <c r="H231" s="21" t="n"/>
      <c r="I231" s="21" t="n"/>
      <c r="J231" s="19">
        <f>IF($I231="","",IFERROR(INDEX(DANH_MUC!$D$4:$D$1000,MATCH($I231,DANH_MUC!$C$4:$C$1000,0)),""))</f>
        <v/>
      </c>
      <c r="K231" s="21" t="n"/>
      <c r="L231" s="21" t="n"/>
      <c r="M231" s="20" t="n"/>
      <c r="N231" s="23" t="n"/>
      <c r="O231" s="21" t="n"/>
    </row>
    <row r="232">
      <c r="A232" s="19">
        <f>IF($C232="","CHƯA NHẬP",IF($B232="","HỢP LỆ","LỖI"))</f>
        <v/>
      </c>
      <c r="B232" s="19">
        <f>IF($C232="","",TEXTJOIN(" | ",TRUE,IF(COUNTIF('01_HO_SO'!$C$6:$C$505,$C232)=0,"Mã chưa có ở Bước 1",""),IF(COUNTIF($C$6:$C$505,$C232)&gt;1,"Trùng mã trong thông tin công việc",""),IF($D232="","Thiếu trạng thái làm việc",""),IF($E232="","Thiếu ngày vào công ty",IF(OR(NOT(ISNUMBER($E232)),$E232&gt;TODAY()),"Ngày vào công ty không hợp lệ","")),IF($G232="","Thiếu phòng ban",""),IF($I232="","Thiếu chức danh",""),IF(AND($M232&lt;&gt;"",COUNTIF('01_HO_SO'!$C$6:$C$505,$M232)=0),"Mã quản lý không tồn tại",""),IF(AND($M232&lt;&gt;"",$M232=$C232),"Không thể tự quản lý chính mình",""),IF(OR($N232&lt;0,$N232&gt;1000000000),"Lương cơ bản ngoài phạm vi","")))</f>
        <v/>
      </c>
      <c r="C232" s="20" t="n"/>
      <c r="D232" s="21" t="n"/>
      <c r="E232" s="22" t="n"/>
      <c r="F232" s="21" t="n"/>
      <c r="G232" s="21" t="n"/>
      <c r="H232" s="21" t="n"/>
      <c r="I232" s="21" t="n"/>
      <c r="J232" s="19">
        <f>IF($I232="","",IFERROR(INDEX(DANH_MUC!$D$4:$D$1000,MATCH($I232,DANH_MUC!$C$4:$C$1000,0)),""))</f>
        <v/>
      </c>
      <c r="K232" s="21" t="n"/>
      <c r="L232" s="21" t="n"/>
      <c r="M232" s="20" t="n"/>
      <c r="N232" s="23" t="n"/>
      <c r="O232" s="21" t="n"/>
    </row>
    <row r="233">
      <c r="A233" s="19">
        <f>IF($C233="","CHƯA NHẬP",IF($B233="","HỢP LỆ","LỖI"))</f>
        <v/>
      </c>
      <c r="B233" s="19">
        <f>IF($C233="","",TEXTJOIN(" | ",TRUE,IF(COUNTIF('01_HO_SO'!$C$6:$C$505,$C233)=0,"Mã chưa có ở Bước 1",""),IF(COUNTIF($C$6:$C$505,$C233)&gt;1,"Trùng mã trong thông tin công việc",""),IF($D233="","Thiếu trạng thái làm việc",""),IF($E233="","Thiếu ngày vào công ty",IF(OR(NOT(ISNUMBER($E233)),$E233&gt;TODAY()),"Ngày vào công ty không hợp lệ","")),IF($G233="","Thiếu phòng ban",""),IF($I233="","Thiếu chức danh",""),IF(AND($M233&lt;&gt;"",COUNTIF('01_HO_SO'!$C$6:$C$505,$M233)=0),"Mã quản lý không tồn tại",""),IF(AND($M233&lt;&gt;"",$M233=$C233),"Không thể tự quản lý chính mình",""),IF(OR($N233&lt;0,$N233&gt;1000000000),"Lương cơ bản ngoài phạm vi","")))</f>
        <v/>
      </c>
      <c r="C233" s="20" t="n"/>
      <c r="D233" s="21" t="n"/>
      <c r="E233" s="22" t="n"/>
      <c r="F233" s="21" t="n"/>
      <c r="G233" s="21" t="n"/>
      <c r="H233" s="21" t="n"/>
      <c r="I233" s="21" t="n"/>
      <c r="J233" s="19">
        <f>IF($I233="","",IFERROR(INDEX(DANH_MUC!$D$4:$D$1000,MATCH($I233,DANH_MUC!$C$4:$C$1000,0)),""))</f>
        <v/>
      </c>
      <c r="K233" s="21" t="n"/>
      <c r="L233" s="21" t="n"/>
      <c r="M233" s="20" t="n"/>
      <c r="N233" s="23" t="n"/>
      <c r="O233" s="21" t="n"/>
    </row>
    <row r="234">
      <c r="A234" s="19">
        <f>IF($C234="","CHƯA NHẬP",IF($B234="","HỢP LỆ","LỖI"))</f>
        <v/>
      </c>
      <c r="B234" s="19">
        <f>IF($C234="","",TEXTJOIN(" | ",TRUE,IF(COUNTIF('01_HO_SO'!$C$6:$C$505,$C234)=0,"Mã chưa có ở Bước 1",""),IF(COUNTIF($C$6:$C$505,$C234)&gt;1,"Trùng mã trong thông tin công việc",""),IF($D234="","Thiếu trạng thái làm việc",""),IF($E234="","Thiếu ngày vào công ty",IF(OR(NOT(ISNUMBER($E234)),$E234&gt;TODAY()),"Ngày vào công ty không hợp lệ","")),IF($G234="","Thiếu phòng ban",""),IF($I234="","Thiếu chức danh",""),IF(AND($M234&lt;&gt;"",COUNTIF('01_HO_SO'!$C$6:$C$505,$M234)=0),"Mã quản lý không tồn tại",""),IF(AND($M234&lt;&gt;"",$M234=$C234),"Không thể tự quản lý chính mình",""),IF(OR($N234&lt;0,$N234&gt;1000000000),"Lương cơ bản ngoài phạm vi","")))</f>
        <v/>
      </c>
      <c r="C234" s="20" t="n"/>
      <c r="D234" s="21" t="n"/>
      <c r="E234" s="22" t="n"/>
      <c r="F234" s="21" t="n"/>
      <c r="G234" s="21" t="n"/>
      <c r="H234" s="21" t="n"/>
      <c r="I234" s="21" t="n"/>
      <c r="J234" s="19">
        <f>IF($I234="","",IFERROR(INDEX(DANH_MUC!$D$4:$D$1000,MATCH($I234,DANH_MUC!$C$4:$C$1000,0)),""))</f>
        <v/>
      </c>
      <c r="K234" s="21" t="n"/>
      <c r="L234" s="21" t="n"/>
      <c r="M234" s="20" t="n"/>
      <c r="N234" s="23" t="n"/>
      <c r="O234" s="21" t="n"/>
    </row>
    <row r="235">
      <c r="A235" s="19">
        <f>IF($C235="","CHƯA NHẬP",IF($B235="","HỢP LỆ","LỖI"))</f>
        <v/>
      </c>
      <c r="B235" s="19">
        <f>IF($C235="","",TEXTJOIN(" | ",TRUE,IF(COUNTIF('01_HO_SO'!$C$6:$C$505,$C235)=0,"Mã chưa có ở Bước 1",""),IF(COUNTIF($C$6:$C$505,$C235)&gt;1,"Trùng mã trong thông tin công việc",""),IF($D235="","Thiếu trạng thái làm việc",""),IF($E235="","Thiếu ngày vào công ty",IF(OR(NOT(ISNUMBER($E235)),$E235&gt;TODAY()),"Ngày vào công ty không hợp lệ","")),IF($G235="","Thiếu phòng ban",""),IF($I235="","Thiếu chức danh",""),IF(AND($M235&lt;&gt;"",COUNTIF('01_HO_SO'!$C$6:$C$505,$M235)=0),"Mã quản lý không tồn tại",""),IF(AND($M235&lt;&gt;"",$M235=$C235),"Không thể tự quản lý chính mình",""),IF(OR($N235&lt;0,$N235&gt;1000000000),"Lương cơ bản ngoài phạm vi","")))</f>
        <v/>
      </c>
      <c r="C235" s="20" t="n"/>
      <c r="D235" s="21" t="n"/>
      <c r="E235" s="22" t="n"/>
      <c r="F235" s="21" t="n"/>
      <c r="G235" s="21" t="n"/>
      <c r="H235" s="21" t="n"/>
      <c r="I235" s="21" t="n"/>
      <c r="J235" s="19">
        <f>IF($I235="","",IFERROR(INDEX(DANH_MUC!$D$4:$D$1000,MATCH($I235,DANH_MUC!$C$4:$C$1000,0)),""))</f>
        <v/>
      </c>
      <c r="K235" s="21" t="n"/>
      <c r="L235" s="21" t="n"/>
      <c r="M235" s="20" t="n"/>
      <c r="N235" s="23" t="n"/>
      <c r="O235" s="21" t="n"/>
    </row>
    <row r="236">
      <c r="A236" s="19">
        <f>IF($C236="","CHƯA NHẬP",IF($B236="","HỢP LỆ","LỖI"))</f>
        <v/>
      </c>
      <c r="B236" s="19">
        <f>IF($C236="","",TEXTJOIN(" | ",TRUE,IF(COUNTIF('01_HO_SO'!$C$6:$C$505,$C236)=0,"Mã chưa có ở Bước 1",""),IF(COUNTIF($C$6:$C$505,$C236)&gt;1,"Trùng mã trong thông tin công việc",""),IF($D236="","Thiếu trạng thái làm việc",""),IF($E236="","Thiếu ngày vào công ty",IF(OR(NOT(ISNUMBER($E236)),$E236&gt;TODAY()),"Ngày vào công ty không hợp lệ","")),IF($G236="","Thiếu phòng ban",""),IF($I236="","Thiếu chức danh",""),IF(AND($M236&lt;&gt;"",COUNTIF('01_HO_SO'!$C$6:$C$505,$M236)=0),"Mã quản lý không tồn tại",""),IF(AND($M236&lt;&gt;"",$M236=$C236),"Không thể tự quản lý chính mình",""),IF(OR($N236&lt;0,$N236&gt;1000000000),"Lương cơ bản ngoài phạm vi","")))</f>
        <v/>
      </c>
      <c r="C236" s="20" t="n"/>
      <c r="D236" s="21" t="n"/>
      <c r="E236" s="22" t="n"/>
      <c r="F236" s="21" t="n"/>
      <c r="G236" s="21" t="n"/>
      <c r="H236" s="21" t="n"/>
      <c r="I236" s="21" t="n"/>
      <c r="J236" s="19">
        <f>IF($I236="","",IFERROR(INDEX(DANH_MUC!$D$4:$D$1000,MATCH($I236,DANH_MUC!$C$4:$C$1000,0)),""))</f>
        <v/>
      </c>
      <c r="K236" s="21" t="n"/>
      <c r="L236" s="21" t="n"/>
      <c r="M236" s="20" t="n"/>
      <c r="N236" s="23" t="n"/>
      <c r="O236" s="21" t="n"/>
    </row>
    <row r="237">
      <c r="A237" s="19">
        <f>IF($C237="","CHƯA NHẬP",IF($B237="","HỢP LỆ","LỖI"))</f>
        <v/>
      </c>
      <c r="B237" s="19">
        <f>IF($C237="","",TEXTJOIN(" | ",TRUE,IF(COUNTIF('01_HO_SO'!$C$6:$C$505,$C237)=0,"Mã chưa có ở Bước 1",""),IF(COUNTIF($C$6:$C$505,$C237)&gt;1,"Trùng mã trong thông tin công việc",""),IF($D237="","Thiếu trạng thái làm việc",""),IF($E237="","Thiếu ngày vào công ty",IF(OR(NOT(ISNUMBER($E237)),$E237&gt;TODAY()),"Ngày vào công ty không hợp lệ","")),IF($G237="","Thiếu phòng ban",""),IF($I237="","Thiếu chức danh",""),IF(AND($M237&lt;&gt;"",COUNTIF('01_HO_SO'!$C$6:$C$505,$M237)=0),"Mã quản lý không tồn tại",""),IF(AND($M237&lt;&gt;"",$M237=$C237),"Không thể tự quản lý chính mình",""),IF(OR($N237&lt;0,$N237&gt;1000000000),"Lương cơ bản ngoài phạm vi","")))</f>
        <v/>
      </c>
      <c r="C237" s="20" t="n"/>
      <c r="D237" s="21" t="n"/>
      <c r="E237" s="22" t="n"/>
      <c r="F237" s="21" t="n"/>
      <c r="G237" s="21" t="n"/>
      <c r="H237" s="21" t="n"/>
      <c r="I237" s="21" t="n"/>
      <c r="J237" s="19">
        <f>IF($I237="","",IFERROR(INDEX(DANH_MUC!$D$4:$D$1000,MATCH($I237,DANH_MUC!$C$4:$C$1000,0)),""))</f>
        <v/>
      </c>
      <c r="K237" s="21" t="n"/>
      <c r="L237" s="21" t="n"/>
      <c r="M237" s="20" t="n"/>
      <c r="N237" s="23" t="n"/>
      <c r="O237" s="21" t="n"/>
    </row>
    <row r="238">
      <c r="A238" s="19">
        <f>IF($C238="","CHƯA NHẬP",IF($B238="","HỢP LỆ","LỖI"))</f>
        <v/>
      </c>
      <c r="B238" s="19">
        <f>IF($C238="","",TEXTJOIN(" | ",TRUE,IF(COUNTIF('01_HO_SO'!$C$6:$C$505,$C238)=0,"Mã chưa có ở Bước 1",""),IF(COUNTIF($C$6:$C$505,$C238)&gt;1,"Trùng mã trong thông tin công việc",""),IF($D238="","Thiếu trạng thái làm việc",""),IF($E238="","Thiếu ngày vào công ty",IF(OR(NOT(ISNUMBER($E238)),$E238&gt;TODAY()),"Ngày vào công ty không hợp lệ","")),IF($G238="","Thiếu phòng ban",""),IF($I238="","Thiếu chức danh",""),IF(AND($M238&lt;&gt;"",COUNTIF('01_HO_SO'!$C$6:$C$505,$M238)=0),"Mã quản lý không tồn tại",""),IF(AND($M238&lt;&gt;"",$M238=$C238),"Không thể tự quản lý chính mình",""),IF(OR($N238&lt;0,$N238&gt;1000000000),"Lương cơ bản ngoài phạm vi","")))</f>
        <v/>
      </c>
      <c r="C238" s="20" t="n"/>
      <c r="D238" s="21" t="n"/>
      <c r="E238" s="22" t="n"/>
      <c r="F238" s="21" t="n"/>
      <c r="G238" s="21" t="n"/>
      <c r="H238" s="21" t="n"/>
      <c r="I238" s="21" t="n"/>
      <c r="J238" s="19">
        <f>IF($I238="","",IFERROR(INDEX(DANH_MUC!$D$4:$D$1000,MATCH($I238,DANH_MUC!$C$4:$C$1000,0)),""))</f>
        <v/>
      </c>
      <c r="K238" s="21" t="n"/>
      <c r="L238" s="21" t="n"/>
      <c r="M238" s="20" t="n"/>
      <c r="N238" s="23" t="n"/>
      <c r="O238" s="21" t="n"/>
    </row>
    <row r="239">
      <c r="A239" s="19">
        <f>IF($C239="","CHƯA NHẬP",IF($B239="","HỢP LỆ","LỖI"))</f>
        <v/>
      </c>
      <c r="B239" s="19">
        <f>IF($C239="","",TEXTJOIN(" | ",TRUE,IF(COUNTIF('01_HO_SO'!$C$6:$C$505,$C239)=0,"Mã chưa có ở Bước 1",""),IF(COUNTIF($C$6:$C$505,$C239)&gt;1,"Trùng mã trong thông tin công việc",""),IF($D239="","Thiếu trạng thái làm việc",""),IF($E239="","Thiếu ngày vào công ty",IF(OR(NOT(ISNUMBER($E239)),$E239&gt;TODAY()),"Ngày vào công ty không hợp lệ","")),IF($G239="","Thiếu phòng ban",""),IF($I239="","Thiếu chức danh",""),IF(AND($M239&lt;&gt;"",COUNTIF('01_HO_SO'!$C$6:$C$505,$M239)=0),"Mã quản lý không tồn tại",""),IF(AND($M239&lt;&gt;"",$M239=$C239),"Không thể tự quản lý chính mình",""),IF(OR($N239&lt;0,$N239&gt;1000000000),"Lương cơ bản ngoài phạm vi","")))</f>
        <v/>
      </c>
      <c r="C239" s="20" t="n"/>
      <c r="D239" s="21" t="n"/>
      <c r="E239" s="22" t="n"/>
      <c r="F239" s="21" t="n"/>
      <c r="G239" s="21" t="n"/>
      <c r="H239" s="21" t="n"/>
      <c r="I239" s="21" t="n"/>
      <c r="J239" s="19">
        <f>IF($I239="","",IFERROR(INDEX(DANH_MUC!$D$4:$D$1000,MATCH($I239,DANH_MUC!$C$4:$C$1000,0)),""))</f>
        <v/>
      </c>
      <c r="K239" s="21" t="n"/>
      <c r="L239" s="21" t="n"/>
      <c r="M239" s="20" t="n"/>
      <c r="N239" s="23" t="n"/>
      <c r="O239" s="21" t="n"/>
    </row>
    <row r="240">
      <c r="A240" s="19">
        <f>IF($C240="","CHƯA NHẬP",IF($B240="","HỢP LỆ","LỖI"))</f>
        <v/>
      </c>
      <c r="B240" s="19">
        <f>IF($C240="","",TEXTJOIN(" | ",TRUE,IF(COUNTIF('01_HO_SO'!$C$6:$C$505,$C240)=0,"Mã chưa có ở Bước 1",""),IF(COUNTIF($C$6:$C$505,$C240)&gt;1,"Trùng mã trong thông tin công việc",""),IF($D240="","Thiếu trạng thái làm việc",""),IF($E240="","Thiếu ngày vào công ty",IF(OR(NOT(ISNUMBER($E240)),$E240&gt;TODAY()),"Ngày vào công ty không hợp lệ","")),IF($G240="","Thiếu phòng ban",""),IF($I240="","Thiếu chức danh",""),IF(AND($M240&lt;&gt;"",COUNTIF('01_HO_SO'!$C$6:$C$505,$M240)=0),"Mã quản lý không tồn tại",""),IF(AND($M240&lt;&gt;"",$M240=$C240),"Không thể tự quản lý chính mình",""),IF(OR($N240&lt;0,$N240&gt;1000000000),"Lương cơ bản ngoài phạm vi","")))</f>
        <v/>
      </c>
      <c r="C240" s="20" t="n"/>
      <c r="D240" s="21" t="n"/>
      <c r="E240" s="22" t="n"/>
      <c r="F240" s="21" t="n"/>
      <c r="G240" s="21" t="n"/>
      <c r="H240" s="21" t="n"/>
      <c r="I240" s="21" t="n"/>
      <c r="J240" s="19">
        <f>IF($I240="","",IFERROR(INDEX(DANH_MUC!$D$4:$D$1000,MATCH($I240,DANH_MUC!$C$4:$C$1000,0)),""))</f>
        <v/>
      </c>
      <c r="K240" s="21" t="n"/>
      <c r="L240" s="21" t="n"/>
      <c r="M240" s="20" t="n"/>
      <c r="N240" s="23" t="n"/>
      <c r="O240" s="21" t="n"/>
    </row>
    <row r="241">
      <c r="A241" s="19">
        <f>IF($C241="","CHƯA NHẬP",IF($B241="","HỢP LỆ","LỖI"))</f>
        <v/>
      </c>
      <c r="B241" s="19">
        <f>IF($C241="","",TEXTJOIN(" | ",TRUE,IF(COUNTIF('01_HO_SO'!$C$6:$C$505,$C241)=0,"Mã chưa có ở Bước 1",""),IF(COUNTIF($C$6:$C$505,$C241)&gt;1,"Trùng mã trong thông tin công việc",""),IF($D241="","Thiếu trạng thái làm việc",""),IF($E241="","Thiếu ngày vào công ty",IF(OR(NOT(ISNUMBER($E241)),$E241&gt;TODAY()),"Ngày vào công ty không hợp lệ","")),IF($G241="","Thiếu phòng ban",""),IF($I241="","Thiếu chức danh",""),IF(AND($M241&lt;&gt;"",COUNTIF('01_HO_SO'!$C$6:$C$505,$M241)=0),"Mã quản lý không tồn tại",""),IF(AND($M241&lt;&gt;"",$M241=$C241),"Không thể tự quản lý chính mình",""),IF(OR($N241&lt;0,$N241&gt;1000000000),"Lương cơ bản ngoài phạm vi","")))</f>
        <v/>
      </c>
      <c r="C241" s="20" t="n"/>
      <c r="D241" s="21" t="n"/>
      <c r="E241" s="22" t="n"/>
      <c r="F241" s="21" t="n"/>
      <c r="G241" s="21" t="n"/>
      <c r="H241" s="21" t="n"/>
      <c r="I241" s="21" t="n"/>
      <c r="J241" s="19">
        <f>IF($I241="","",IFERROR(INDEX(DANH_MUC!$D$4:$D$1000,MATCH($I241,DANH_MUC!$C$4:$C$1000,0)),""))</f>
        <v/>
      </c>
      <c r="K241" s="21" t="n"/>
      <c r="L241" s="21" t="n"/>
      <c r="M241" s="20" t="n"/>
      <c r="N241" s="23" t="n"/>
      <c r="O241" s="21" t="n"/>
    </row>
    <row r="242">
      <c r="A242" s="19">
        <f>IF($C242="","CHƯA NHẬP",IF($B242="","HỢP LỆ","LỖI"))</f>
        <v/>
      </c>
      <c r="B242" s="19">
        <f>IF($C242="","",TEXTJOIN(" | ",TRUE,IF(COUNTIF('01_HO_SO'!$C$6:$C$505,$C242)=0,"Mã chưa có ở Bước 1",""),IF(COUNTIF($C$6:$C$505,$C242)&gt;1,"Trùng mã trong thông tin công việc",""),IF($D242="","Thiếu trạng thái làm việc",""),IF($E242="","Thiếu ngày vào công ty",IF(OR(NOT(ISNUMBER($E242)),$E242&gt;TODAY()),"Ngày vào công ty không hợp lệ","")),IF($G242="","Thiếu phòng ban",""),IF($I242="","Thiếu chức danh",""),IF(AND($M242&lt;&gt;"",COUNTIF('01_HO_SO'!$C$6:$C$505,$M242)=0),"Mã quản lý không tồn tại",""),IF(AND($M242&lt;&gt;"",$M242=$C242),"Không thể tự quản lý chính mình",""),IF(OR($N242&lt;0,$N242&gt;1000000000),"Lương cơ bản ngoài phạm vi","")))</f>
        <v/>
      </c>
      <c r="C242" s="20" t="n"/>
      <c r="D242" s="21" t="n"/>
      <c r="E242" s="22" t="n"/>
      <c r="F242" s="21" t="n"/>
      <c r="G242" s="21" t="n"/>
      <c r="H242" s="21" t="n"/>
      <c r="I242" s="21" t="n"/>
      <c r="J242" s="19">
        <f>IF($I242="","",IFERROR(INDEX(DANH_MUC!$D$4:$D$1000,MATCH($I242,DANH_MUC!$C$4:$C$1000,0)),""))</f>
        <v/>
      </c>
      <c r="K242" s="21" t="n"/>
      <c r="L242" s="21" t="n"/>
      <c r="M242" s="20" t="n"/>
      <c r="N242" s="23" t="n"/>
      <c r="O242" s="21" t="n"/>
    </row>
    <row r="243">
      <c r="A243" s="19">
        <f>IF($C243="","CHƯA NHẬP",IF($B243="","HỢP LỆ","LỖI"))</f>
        <v/>
      </c>
      <c r="B243" s="19">
        <f>IF($C243="","",TEXTJOIN(" | ",TRUE,IF(COUNTIF('01_HO_SO'!$C$6:$C$505,$C243)=0,"Mã chưa có ở Bước 1",""),IF(COUNTIF($C$6:$C$505,$C243)&gt;1,"Trùng mã trong thông tin công việc",""),IF($D243="","Thiếu trạng thái làm việc",""),IF($E243="","Thiếu ngày vào công ty",IF(OR(NOT(ISNUMBER($E243)),$E243&gt;TODAY()),"Ngày vào công ty không hợp lệ","")),IF($G243="","Thiếu phòng ban",""),IF($I243="","Thiếu chức danh",""),IF(AND($M243&lt;&gt;"",COUNTIF('01_HO_SO'!$C$6:$C$505,$M243)=0),"Mã quản lý không tồn tại",""),IF(AND($M243&lt;&gt;"",$M243=$C243),"Không thể tự quản lý chính mình",""),IF(OR($N243&lt;0,$N243&gt;1000000000),"Lương cơ bản ngoài phạm vi","")))</f>
        <v/>
      </c>
      <c r="C243" s="20" t="n"/>
      <c r="D243" s="21" t="n"/>
      <c r="E243" s="22" t="n"/>
      <c r="F243" s="21" t="n"/>
      <c r="G243" s="21" t="n"/>
      <c r="H243" s="21" t="n"/>
      <c r="I243" s="21" t="n"/>
      <c r="J243" s="19">
        <f>IF($I243="","",IFERROR(INDEX(DANH_MUC!$D$4:$D$1000,MATCH($I243,DANH_MUC!$C$4:$C$1000,0)),""))</f>
        <v/>
      </c>
      <c r="K243" s="21" t="n"/>
      <c r="L243" s="21" t="n"/>
      <c r="M243" s="20" t="n"/>
      <c r="N243" s="23" t="n"/>
      <c r="O243" s="21" t="n"/>
    </row>
    <row r="244">
      <c r="A244" s="19">
        <f>IF($C244="","CHƯA NHẬP",IF($B244="","HỢP LỆ","LỖI"))</f>
        <v/>
      </c>
      <c r="B244" s="19">
        <f>IF($C244="","",TEXTJOIN(" | ",TRUE,IF(COUNTIF('01_HO_SO'!$C$6:$C$505,$C244)=0,"Mã chưa có ở Bước 1",""),IF(COUNTIF($C$6:$C$505,$C244)&gt;1,"Trùng mã trong thông tin công việc",""),IF($D244="","Thiếu trạng thái làm việc",""),IF($E244="","Thiếu ngày vào công ty",IF(OR(NOT(ISNUMBER($E244)),$E244&gt;TODAY()),"Ngày vào công ty không hợp lệ","")),IF($G244="","Thiếu phòng ban",""),IF($I244="","Thiếu chức danh",""),IF(AND($M244&lt;&gt;"",COUNTIF('01_HO_SO'!$C$6:$C$505,$M244)=0),"Mã quản lý không tồn tại",""),IF(AND($M244&lt;&gt;"",$M244=$C244),"Không thể tự quản lý chính mình",""),IF(OR($N244&lt;0,$N244&gt;1000000000),"Lương cơ bản ngoài phạm vi","")))</f>
        <v/>
      </c>
      <c r="C244" s="20" t="n"/>
      <c r="D244" s="21" t="n"/>
      <c r="E244" s="22" t="n"/>
      <c r="F244" s="21" t="n"/>
      <c r="G244" s="21" t="n"/>
      <c r="H244" s="21" t="n"/>
      <c r="I244" s="21" t="n"/>
      <c r="J244" s="19">
        <f>IF($I244="","",IFERROR(INDEX(DANH_MUC!$D$4:$D$1000,MATCH($I244,DANH_MUC!$C$4:$C$1000,0)),""))</f>
        <v/>
      </c>
      <c r="K244" s="21" t="n"/>
      <c r="L244" s="21" t="n"/>
      <c r="M244" s="20" t="n"/>
      <c r="N244" s="23" t="n"/>
      <c r="O244" s="21" t="n"/>
    </row>
    <row r="245">
      <c r="A245" s="19">
        <f>IF($C245="","CHƯA NHẬP",IF($B245="","HỢP LỆ","LỖI"))</f>
        <v/>
      </c>
      <c r="B245" s="19">
        <f>IF($C245="","",TEXTJOIN(" | ",TRUE,IF(COUNTIF('01_HO_SO'!$C$6:$C$505,$C245)=0,"Mã chưa có ở Bước 1",""),IF(COUNTIF($C$6:$C$505,$C245)&gt;1,"Trùng mã trong thông tin công việc",""),IF($D245="","Thiếu trạng thái làm việc",""),IF($E245="","Thiếu ngày vào công ty",IF(OR(NOT(ISNUMBER($E245)),$E245&gt;TODAY()),"Ngày vào công ty không hợp lệ","")),IF($G245="","Thiếu phòng ban",""),IF($I245="","Thiếu chức danh",""),IF(AND($M245&lt;&gt;"",COUNTIF('01_HO_SO'!$C$6:$C$505,$M245)=0),"Mã quản lý không tồn tại",""),IF(AND($M245&lt;&gt;"",$M245=$C245),"Không thể tự quản lý chính mình",""),IF(OR($N245&lt;0,$N245&gt;1000000000),"Lương cơ bản ngoài phạm vi","")))</f>
        <v/>
      </c>
      <c r="C245" s="20" t="n"/>
      <c r="D245" s="21" t="n"/>
      <c r="E245" s="22" t="n"/>
      <c r="F245" s="21" t="n"/>
      <c r="G245" s="21" t="n"/>
      <c r="H245" s="21" t="n"/>
      <c r="I245" s="21" t="n"/>
      <c r="J245" s="19">
        <f>IF($I245="","",IFERROR(INDEX(DANH_MUC!$D$4:$D$1000,MATCH($I245,DANH_MUC!$C$4:$C$1000,0)),""))</f>
        <v/>
      </c>
      <c r="K245" s="21" t="n"/>
      <c r="L245" s="21" t="n"/>
      <c r="M245" s="20" t="n"/>
      <c r="N245" s="23" t="n"/>
      <c r="O245" s="21" t="n"/>
    </row>
    <row r="246">
      <c r="A246" s="19">
        <f>IF($C246="","CHƯA NHẬP",IF($B246="","HỢP LỆ","LỖI"))</f>
        <v/>
      </c>
      <c r="B246" s="19">
        <f>IF($C246="","",TEXTJOIN(" | ",TRUE,IF(COUNTIF('01_HO_SO'!$C$6:$C$505,$C246)=0,"Mã chưa có ở Bước 1",""),IF(COUNTIF($C$6:$C$505,$C246)&gt;1,"Trùng mã trong thông tin công việc",""),IF($D246="","Thiếu trạng thái làm việc",""),IF($E246="","Thiếu ngày vào công ty",IF(OR(NOT(ISNUMBER($E246)),$E246&gt;TODAY()),"Ngày vào công ty không hợp lệ","")),IF($G246="","Thiếu phòng ban",""),IF($I246="","Thiếu chức danh",""),IF(AND($M246&lt;&gt;"",COUNTIF('01_HO_SO'!$C$6:$C$505,$M246)=0),"Mã quản lý không tồn tại",""),IF(AND($M246&lt;&gt;"",$M246=$C246),"Không thể tự quản lý chính mình",""),IF(OR($N246&lt;0,$N246&gt;1000000000),"Lương cơ bản ngoài phạm vi","")))</f>
        <v/>
      </c>
      <c r="C246" s="20" t="n"/>
      <c r="D246" s="21" t="n"/>
      <c r="E246" s="22" t="n"/>
      <c r="F246" s="21" t="n"/>
      <c r="G246" s="21" t="n"/>
      <c r="H246" s="21" t="n"/>
      <c r="I246" s="21" t="n"/>
      <c r="J246" s="19">
        <f>IF($I246="","",IFERROR(INDEX(DANH_MUC!$D$4:$D$1000,MATCH($I246,DANH_MUC!$C$4:$C$1000,0)),""))</f>
        <v/>
      </c>
      <c r="K246" s="21" t="n"/>
      <c r="L246" s="21" t="n"/>
      <c r="M246" s="20" t="n"/>
      <c r="N246" s="23" t="n"/>
      <c r="O246" s="21" t="n"/>
    </row>
    <row r="247">
      <c r="A247" s="19">
        <f>IF($C247="","CHƯA NHẬP",IF($B247="","HỢP LỆ","LỖI"))</f>
        <v/>
      </c>
      <c r="B247" s="19">
        <f>IF($C247="","",TEXTJOIN(" | ",TRUE,IF(COUNTIF('01_HO_SO'!$C$6:$C$505,$C247)=0,"Mã chưa có ở Bước 1",""),IF(COUNTIF($C$6:$C$505,$C247)&gt;1,"Trùng mã trong thông tin công việc",""),IF($D247="","Thiếu trạng thái làm việc",""),IF($E247="","Thiếu ngày vào công ty",IF(OR(NOT(ISNUMBER($E247)),$E247&gt;TODAY()),"Ngày vào công ty không hợp lệ","")),IF($G247="","Thiếu phòng ban",""),IF($I247="","Thiếu chức danh",""),IF(AND($M247&lt;&gt;"",COUNTIF('01_HO_SO'!$C$6:$C$505,$M247)=0),"Mã quản lý không tồn tại",""),IF(AND($M247&lt;&gt;"",$M247=$C247),"Không thể tự quản lý chính mình",""),IF(OR($N247&lt;0,$N247&gt;1000000000),"Lương cơ bản ngoài phạm vi","")))</f>
        <v/>
      </c>
      <c r="C247" s="20" t="n"/>
      <c r="D247" s="21" t="n"/>
      <c r="E247" s="22" t="n"/>
      <c r="F247" s="21" t="n"/>
      <c r="G247" s="21" t="n"/>
      <c r="H247" s="21" t="n"/>
      <c r="I247" s="21" t="n"/>
      <c r="J247" s="19">
        <f>IF($I247="","",IFERROR(INDEX(DANH_MUC!$D$4:$D$1000,MATCH($I247,DANH_MUC!$C$4:$C$1000,0)),""))</f>
        <v/>
      </c>
      <c r="K247" s="21" t="n"/>
      <c r="L247" s="21" t="n"/>
      <c r="M247" s="20" t="n"/>
      <c r="N247" s="23" t="n"/>
      <c r="O247" s="21" t="n"/>
    </row>
    <row r="248">
      <c r="A248" s="19">
        <f>IF($C248="","CHƯA NHẬP",IF($B248="","HỢP LỆ","LỖI"))</f>
        <v/>
      </c>
      <c r="B248" s="19">
        <f>IF($C248="","",TEXTJOIN(" | ",TRUE,IF(COUNTIF('01_HO_SO'!$C$6:$C$505,$C248)=0,"Mã chưa có ở Bước 1",""),IF(COUNTIF($C$6:$C$505,$C248)&gt;1,"Trùng mã trong thông tin công việc",""),IF($D248="","Thiếu trạng thái làm việc",""),IF($E248="","Thiếu ngày vào công ty",IF(OR(NOT(ISNUMBER($E248)),$E248&gt;TODAY()),"Ngày vào công ty không hợp lệ","")),IF($G248="","Thiếu phòng ban",""),IF($I248="","Thiếu chức danh",""),IF(AND($M248&lt;&gt;"",COUNTIF('01_HO_SO'!$C$6:$C$505,$M248)=0),"Mã quản lý không tồn tại",""),IF(AND($M248&lt;&gt;"",$M248=$C248),"Không thể tự quản lý chính mình",""),IF(OR($N248&lt;0,$N248&gt;1000000000),"Lương cơ bản ngoài phạm vi","")))</f>
        <v/>
      </c>
      <c r="C248" s="20" t="n"/>
      <c r="D248" s="21" t="n"/>
      <c r="E248" s="22" t="n"/>
      <c r="F248" s="21" t="n"/>
      <c r="G248" s="21" t="n"/>
      <c r="H248" s="21" t="n"/>
      <c r="I248" s="21" t="n"/>
      <c r="J248" s="19">
        <f>IF($I248="","",IFERROR(INDEX(DANH_MUC!$D$4:$D$1000,MATCH($I248,DANH_MUC!$C$4:$C$1000,0)),""))</f>
        <v/>
      </c>
      <c r="K248" s="21" t="n"/>
      <c r="L248" s="21" t="n"/>
      <c r="M248" s="20" t="n"/>
      <c r="N248" s="23" t="n"/>
      <c r="O248" s="21" t="n"/>
    </row>
    <row r="249">
      <c r="A249" s="19">
        <f>IF($C249="","CHƯA NHẬP",IF($B249="","HỢP LỆ","LỖI"))</f>
        <v/>
      </c>
      <c r="B249" s="19">
        <f>IF($C249="","",TEXTJOIN(" | ",TRUE,IF(COUNTIF('01_HO_SO'!$C$6:$C$505,$C249)=0,"Mã chưa có ở Bước 1",""),IF(COUNTIF($C$6:$C$505,$C249)&gt;1,"Trùng mã trong thông tin công việc",""),IF($D249="","Thiếu trạng thái làm việc",""),IF($E249="","Thiếu ngày vào công ty",IF(OR(NOT(ISNUMBER($E249)),$E249&gt;TODAY()),"Ngày vào công ty không hợp lệ","")),IF($G249="","Thiếu phòng ban",""),IF($I249="","Thiếu chức danh",""),IF(AND($M249&lt;&gt;"",COUNTIF('01_HO_SO'!$C$6:$C$505,$M249)=0),"Mã quản lý không tồn tại",""),IF(AND($M249&lt;&gt;"",$M249=$C249),"Không thể tự quản lý chính mình",""),IF(OR($N249&lt;0,$N249&gt;1000000000),"Lương cơ bản ngoài phạm vi","")))</f>
        <v/>
      </c>
      <c r="C249" s="20" t="n"/>
      <c r="D249" s="21" t="n"/>
      <c r="E249" s="22" t="n"/>
      <c r="F249" s="21" t="n"/>
      <c r="G249" s="21" t="n"/>
      <c r="H249" s="21" t="n"/>
      <c r="I249" s="21" t="n"/>
      <c r="J249" s="19">
        <f>IF($I249="","",IFERROR(INDEX(DANH_MUC!$D$4:$D$1000,MATCH($I249,DANH_MUC!$C$4:$C$1000,0)),""))</f>
        <v/>
      </c>
      <c r="K249" s="21" t="n"/>
      <c r="L249" s="21" t="n"/>
      <c r="M249" s="20" t="n"/>
      <c r="N249" s="23" t="n"/>
      <c r="O249" s="21" t="n"/>
    </row>
    <row r="250">
      <c r="A250" s="19">
        <f>IF($C250="","CHƯA NHẬP",IF($B250="","HỢP LỆ","LỖI"))</f>
        <v/>
      </c>
      <c r="B250" s="19">
        <f>IF($C250="","",TEXTJOIN(" | ",TRUE,IF(COUNTIF('01_HO_SO'!$C$6:$C$505,$C250)=0,"Mã chưa có ở Bước 1",""),IF(COUNTIF($C$6:$C$505,$C250)&gt;1,"Trùng mã trong thông tin công việc",""),IF($D250="","Thiếu trạng thái làm việc",""),IF($E250="","Thiếu ngày vào công ty",IF(OR(NOT(ISNUMBER($E250)),$E250&gt;TODAY()),"Ngày vào công ty không hợp lệ","")),IF($G250="","Thiếu phòng ban",""),IF($I250="","Thiếu chức danh",""),IF(AND($M250&lt;&gt;"",COUNTIF('01_HO_SO'!$C$6:$C$505,$M250)=0),"Mã quản lý không tồn tại",""),IF(AND($M250&lt;&gt;"",$M250=$C250),"Không thể tự quản lý chính mình",""),IF(OR($N250&lt;0,$N250&gt;1000000000),"Lương cơ bản ngoài phạm vi","")))</f>
        <v/>
      </c>
      <c r="C250" s="20" t="n"/>
      <c r="D250" s="21" t="n"/>
      <c r="E250" s="22" t="n"/>
      <c r="F250" s="21" t="n"/>
      <c r="G250" s="21" t="n"/>
      <c r="H250" s="21" t="n"/>
      <c r="I250" s="21" t="n"/>
      <c r="J250" s="19">
        <f>IF($I250="","",IFERROR(INDEX(DANH_MUC!$D$4:$D$1000,MATCH($I250,DANH_MUC!$C$4:$C$1000,0)),""))</f>
        <v/>
      </c>
      <c r="K250" s="21" t="n"/>
      <c r="L250" s="21" t="n"/>
      <c r="M250" s="20" t="n"/>
      <c r="N250" s="23" t="n"/>
      <c r="O250" s="21" t="n"/>
    </row>
    <row r="251">
      <c r="A251" s="19">
        <f>IF($C251="","CHƯA NHẬP",IF($B251="","HỢP LỆ","LỖI"))</f>
        <v/>
      </c>
      <c r="B251" s="19">
        <f>IF($C251="","",TEXTJOIN(" | ",TRUE,IF(COUNTIF('01_HO_SO'!$C$6:$C$505,$C251)=0,"Mã chưa có ở Bước 1",""),IF(COUNTIF($C$6:$C$505,$C251)&gt;1,"Trùng mã trong thông tin công việc",""),IF($D251="","Thiếu trạng thái làm việc",""),IF($E251="","Thiếu ngày vào công ty",IF(OR(NOT(ISNUMBER($E251)),$E251&gt;TODAY()),"Ngày vào công ty không hợp lệ","")),IF($G251="","Thiếu phòng ban",""),IF($I251="","Thiếu chức danh",""),IF(AND($M251&lt;&gt;"",COUNTIF('01_HO_SO'!$C$6:$C$505,$M251)=0),"Mã quản lý không tồn tại",""),IF(AND($M251&lt;&gt;"",$M251=$C251),"Không thể tự quản lý chính mình",""),IF(OR($N251&lt;0,$N251&gt;1000000000),"Lương cơ bản ngoài phạm vi","")))</f>
        <v/>
      </c>
      <c r="C251" s="20" t="n"/>
      <c r="D251" s="21" t="n"/>
      <c r="E251" s="22" t="n"/>
      <c r="F251" s="21" t="n"/>
      <c r="G251" s="21" t="n"/>
      <c r="H251" s="21" t="n"/>
      <c r="I251" s="21" t="n"/>
      <c r="J251" s="19">
        <f>IF($I251="","",IFERROR(INDEX(DANH_MUC!$D$4:$D$1000,MATCH($I251,DANH_MUC!$C$4:$C$1000,0)),""))</f>
        <v/>
      </c>
      <c r="K251" s="21" t="n"/>
      <c r="L251" s="21" t="n"/>
      <c r="M251" s="20" t="n"/>
      <c r="N251" s="23" t="n"/>
      <c r="O251" s="21" t="n"/>
    </row>
    <row r="252">
      <c r="A252" s="19">
        <f>IF($C252="","CHƯA NHẬP",IF($B252="","HỢP LỆ","LỖI"))</f>
        <v/>
      </c>
      <c r="B252" s="19">
        <f>IF($C252="","",TEXTJOIN(" | ",TRUE,IF(COUNTIF('01_HO_SO'!$C$6:$C$505,$C252)=0,"Mã chưa có ở Bước 1",""),IF(COUNTIF($C$6:$C$505,$C252)&gt;1,"Trùng mã trong thông tin công việc",""),IF($D252="","Thiếu trạng thái làm việc",""),IF($E252="","Thiếu ngày vào công ty",IF(OR(NOT(ISNUMBER($E252)),$E252&gt;TODAY()),"Ngày vào công ty không hợp lệ","")),IF($G252="","Thiếu phòng ban",""),IF($I252="","Thiếu chức danh",""),IF(AND($M252&lt;&gt;"",COUNTIF('01_HO_SO'!$C$6:$C$505,$M252)=0),"Mã quản lý không tồn tại",""),IF(AND($M252&lt;&gt;"",$M252=$C252),"Không thể tự quản lý chính mình",""),IF(OR($N252&lt;0,$N252&gt;1000000000),"Lương cơ bản ngoài phạm vi","")))</f>
        <v/>
      </c>
      <c r="C252" s="20" t="n"/>
      <c r="D252" s="21" t="n"/>
      <c r="E252" s="22" t="n"/>
      <c r="F252" s="21" t="n"/>
      <c r="G252" s="21" t="n"/>
      <c r="H252" s="21" t="n"/>
      <c r="I252" s="21" t="n"/>
      <c r="J252" s="19">
        <f>IF($I252="","",IFERROR(INDEX(DANH_MUC!$D$4:$D$1000,MATCH($I252,DANH_MUC!$C$4:$C$1000,0)),""))</f>
        <v/>
      </c>
      <c r="K252" s="21" t="n"/>
      <c r="L252" s="21" t="n"/>
      <c r="M252" s="20" t="n"/>
      <c r="N252" s="23" t="n"/>
      <c r="O252" s="21" t="n"/>
    </row>
    <row r="253">
      <c r="A253" s="19">
        <f>IF($C253="","CHƯA NHẬP",IF($B253="","HỢP LỆ","LỖI"))</f>
        <v/>
      </c>
      <c r="B253" s="19">
        <f>IF($C253="","",TEXTJOIN(" | ",TRUE,IF(COUNTIF('01_HO_SO'!$C$6:$C$505,$C253)=0,"Mã chưa có ở Bước 1",""),IF(COUNTIF($C$6:$C$505,$C253)&gt;1,"Trùng mã trong thông tin công việc",""),IF($D253="","Thiếu trạng thái làm việc",""),IF($E253="","Thiếu ngày vào công ty",IF(OR(NOT(ISNUMBER($E253)),$E253&gt;TODAY()),"Ngày vào công ty không hợp lệ","")),IF($G253="","Thiếu phòng ban",""),IF($I253="","Thiếu chức danh",""),IF(AND($M253&lt;&gt;"",COUNTIF('01_HO_SO'!$C$6:$C$505,$M253)=0),"Mã quản lý không tồn tại",""),IF(AND($M253&lt;&gt;"",$M253=$C253),"Không thể tự quản lý chính mình",""),IF(OR($N253&lt;0,$N253&gt;1000000000),"Lương cơ bản ngoài phạm vi","")))</f>
        <v/>
      </c>
      <c r="C253" s="20" t="n"/>
      <c r="D253" s="21" t="n"/>
      <c r="E253" s="22" t="n"/>
      <c r="F253" s="21" t="n"/>
      <c r="G253" s="21" t="n"/>
      <c r="H253" s="21" t="n"/>
      <c r="I253" s="21" t="n"/>
      <c r="J253" s="19">
        <f>IF($I253="","",IFERROR(INDEX(DANH_MUC!$D$4:$D$1000,MATCH($I253,DANH_MUC!$C$4:$C$1000,0)),""))</f>
        <v/>
      </c>
      <c r="K253" s="21" t="n"/>
      <c r="L253" s="21" t="n"/>
      <c r="M253" s="20" t="n"/>
      <c r="N253" s="23" t="n"/>
      <c r="O253" s="21" t="n"/>
    </row>
    <row r="254">
      <c r="A254" s="19">
        <f>IF($C254="","CHƯA NHẬP",IF($B254="","HỢP LỆ","LỖI"))</f>
        <v/>
      </c>
      <c r="B254" s="19">
        <f>IF($C254="","",TEXTJOIN(" | ",TRUE,IF(COUNTIF('01_HO_SO'!$C$6:$C$505,$C254)=0,"Mã chưa có ở Bước 1",""),IF(COUNTIF($C$6:$C$505,$C254)&gt;1,"Trùng mã trong thông tin công việc",""),IF($D254="","Thiếu trạng thái làm việc",""),IF($E254="","Thiếu ngày vào công ty",IF(OR(NOT(ISNUMBER($E254)),$E254&gt;TODAY()),"Ngày vào công ty không hợp lệ","")),IF($G254="","Thiếu phòng ban",""),IF($I254="","Thiếu chức danh",""),IF(AND($M254&lt;&gt;"",COUNTIF('01_HO_SO'!$C$6:$C$505,$M254)=0),"Mã quản lý không tồn tại",""),IF(AND($M254&lt;&gt;"",$M254=$C254),"Không thể tự quản lý chính mình",""),IF(OR($N254&lt;0,$N254&gt;1000000000),"Lương cơ bản ngoài phạm vi","")))</f>
        <v/>
      </c>
      <c r="C254" s="20" t="n"/>
      <c r="D254" s="21" t="n"/>
      <c r="E254" s="22" t="n"/>
      <c r="F254" s="21" t="n"/>
      <c r="G254" s="21" t="n"/>
      <c r="H254" s="21" t="n"/>
      <c r="I254" s="21" t="n"/>
      <c r="J254" s="19">
        <f>IF($I254="","",IFERROR(INDEX(DANH_MUC!$D$4:$D$1000,MATCH($I254,DANH_MUC!$C$4:$C$1000,0)),""))</f>
        <v/>
      </c>
      <c r="K254" s="21" t="n"/>
      <c r="L254" s="21" t="n"/>
      <c r="M254" s="20" t="n"/>
      <c r="N254" s="23" t="n"/>
      <c r="O254" s="21" t="n"/>
    </row>
    <row r="255">
      <c r="A255" s="19">
        <f>IF($C255="","CHƯA NHẬP",IF($B255="","HỢP LỆ","LỖI"))</f>
        <v/>
      </c>
      <c r="B255" s="19">
        <f>IF($C255="","",TEXTJOIN(" | ",TRUE,IF(COUNTIF('01_HO_SO'!$C$6:$C$505,$C255)=0,"Mã chưa có ở Bước 1",""),IF(COUNTIF($C$6:$C$505,$C255)&gt;1,"Trùng mã trong thông tin công việc",""),IF($D255="","Thiếu trạng thái làm việc",""),IF($E255="","Thiếu ngày vào công ty",IF(OR(NOT(ISNUMBER($E255)),$E255&gt;TODAY()),"Ngày vào công ty không hợp lệ","")),IF($G255="","Thiếu phòng ban",""),IF($I255="","Thiếu chức danh",""),IF(AND($M255&lt;&gt;"",COUNTIF('01_HO_SO'!$C$6:$C$505,$M255)=0),"Mã quản lý không tồn tại",""),IF(AND($M255&lt;&gt;"",$M255=$C255),"Không thể tự quản lý chính mình",""),IF(OR($N255&lt;0,$N255&gt;1000000000),"Lương cơ bản ngoài phạm vi","")))</f>
        <v/>
      </c>
      <c r="C255" s="20" t="n"/>
      <c r="D255" s="21" t="n"/>
      <c r="E255" s="22" t="n"/>
      <c r="F255" s="21" t="n"/>
      <c r="G255" s="21" t="n"/>
      <c r="H255" s="21" t="n"/>
      <c r="I255" s="21" t="n"/>
      <c r="J255" s="19">
        <f>IF($I255="","",IFERROR(INDEX(DANH_MUC!$D$4:$D$1000,MATCH($I255,DANH_MUC!$C$4:$C$1000,0)),""))</f>
        <v/>
      </c>
      <c r="K255" s="21" t="n"/>
      <c r="L255" s="21" t="n"/>
      <c r="M255" s="20" t="n"/>
      <c r="N255" s="23" t="n"/>
      <c r="O255" s="21" t="n"/>
    </row>
    <row r="256">
      <c r="A256" s="19">
        <f>IF($C256="","CHƯA NHẬP",IF($B256="","HỢP LỆ","LỖI"))</f>
        <v/>
      </c>
      <c r="B256" s="19">
        <f>IF($C256="","",TEXTJOIN(" | ",TRUE,IF(COUNTIF('01_HO_SO'!$C$6:$C$505,$C256)=0,"Mã chưa có ở Bước 1",""),IF(COUNTIF($C$6:$C$505,$C256)&gt;1,"Trùng mã trong thông tin công việc",""),IF($D256="","Thiếu trạng thái làm việc",""),IF($E256="","Thiếu ngày vào công ty",IF(OR(NOT(ISNUMBER($E256)),$E256&gt;TODAY()),"Ngày vào công ty không hợp lệ","")),IF($G256="","Thiếu phòng ban",""),IF($I256="","Thiếu chức danh",""),IF(AND($M256&lt;&gt;"",COUNTIF('01_HO_SO'!$C$6:$C$505,$M256)=0),"Mã quản lý không tồn tại",""),IF(AND($M256&lt;&gt;"",$M256=$C256),"Không thể tự quản lý chính mình",""),IF(OR($N256&lt;0,$N256&gt;1000000000),"Lương cơ bản ngoài phạm vi","")))</f>
        <v/>
      </c>
      <c r="C256" s="20" t="n"/>
      <c r="D256" s="21" t="n"/>
      <c r="E256" s="22" t="n"/>
      <c r="F256" s="21" t="n"/>
      <c r="G256" s="21" t="n"/>
      <c r="H256" s="21" t="n"/>
      <c r="I256" s="21" t="n"/>
      <c r="J256" s="19">
        <f>IF($I256="","",IFERROR(INDEX(DANH_MUC!$D$4:$D$1000,MATCH($I256,DANH_MUC!$C$4:$C$1000,0)),""))</f>
        <v/>
      </c>
      <c r="K256" s="21" t="n"/>
      <c r="L256" s="21" t="n"/>
      <c r="M256" s="20" t="n"/>
      <c r="N256" s="23" t="n"/>
      <c r="O256" s="21" t="n"/>
    </row>
    <row r="257">
      <c r="A257" s="19">
        <f>IF($C257="","CHƯA NHẬP",IF($B257="","HỢP LỆ","LỖI"))</f>
        <v/>
      </c>
      <c r="B257" s="19">
        <f>IF($C257="","",TEXTJOIN(" | ",TRUE,IF(COUNTIF('01_HO_SO'!$C$6:$C$505,$C257)=0,"Mã chưa có ở Bước 1",""),IF(COUNTIF($C$6:$C$505,$C257)&gt;1,"Trùng mã trong thông tin công việc",""),IF($D257="","Thiếu trạng thái làm việc",""),IF($E257="","Thiếu ngày vào công ty",IF(OR(NOT(ISNUMBER($E257)),$E257&gt;TODAY()),"Ngày vào công ty không hợp lệ","")),IF($G257="","Thiếu phòng ban",""),IF($I257="","Thiếu chức danh",""),IF(AND($M257&lt;&gt;"",COUNTIF('01_HO_SO'!$C$6:$C$505,$M257)=0),"Mã quản lý không tồn tại",""),IF(AND($M257&lt;&gt;"",$M257=$C257),"Không thể tự quản lý chính mình",""),IF(OR($N257&lt;0,$N257&gt;1000000000),"Lương cơ bản ngoài phạm vi","")))</f>
        <v/>
      </c>
      <c r="C257" s="20" t="n"/>
      <c r="D257" s="21" t="n"/>
      <c r="E257" s="22" t="n"/>
      <c r="F257" s="21" t="n"/>
      <c r="G257" s="21" t="n"/>
      <c r="H257" s="21" t="n"/>
      <c r="I257" s="21" t="n"/>
      <c r="J257" s="19">
        <f>IF($I257="","",IFERROR(INDEX(DANH_MUC!$D$4:$D$1000,MATCH($I257,DANH_MUC!$C$4:$C$1000,0)),""))</f>
        <v/>
      </c>
      <c r="K257" s="21" t="n"/>
      <c r="L257" s="21" t="n"/>
      <c r="M257" s="20" t="n"/>
      <c r="N257" s="23" t="n"/>
      <c r="O257" s="21" t="n"/>
    </row>
    <row r="258">
      <c r="A258" s="19">
        <f>IF($C258="","CHƯA NHẬP",IF($B258="","HỢP LỆ","LỖI"))</f>
        <v/>
      </c>
      <c r="B258" s="19">
        <f>IF($C258="","",TEXTJOIN(" | ",TRUE,IF(COUNTIF('01_HO_SO'!$C$6:$C$505,$C258)=0,"Mã chưa có ở Bước 1",""),IF(COUNTIF($C$6:$C$505,$C258)&gt;1,"Trùng mã trong thông tin công việc",""),IF($D258="","Thiếu trạng thái làm việc",""),IF($E258="","Thiếu ngày vào công ty",IF(OR(NOT(ISNUMBER($E258)),$E258&gt;TODAY()),"Ngày vào công ty không hợp lệ","")),IF($G258="","Thiếu phòng ban",""),IF($I258="","Thiếu chức danh",""),IF(AND($M258&lt;&gt;"",COUNTIF('01_HO_SO'!$C$6:$C$505,$M258)=0),"Mã quản lý không tồn tại",""),IF(AND($M258&lt;&gt;"",$M258=$C258),"Không thể tự quản lý chính mình",""),IF(OR($N258&lt;0,$N258&gt;1000000000),"Lương cơ bản ngoài phạm vi","")))</f>
        <v/>
      </c>
      <c r="C258" s="20" t="n"/>
      <c r="D258" s="21" t="n"/>
      <c r="E258" s="22" t="n"/>
      <c r="F258" s="21" t="n"/>
      <c r="G258" s="21" t="n"/>
      <c r="H258" s="21" t="n"/>
      <c r="I258" s="21" t="n"/>
      <c r="J258" s="19">
        <f>IF($I258="","",IFERROR(INDEX(DANH_MUC!$D$4:$D$1000,MATCH($I258,DANH_MUC!$C$4:$C$1000,0)),""))</f>
        <v/>
      </c>
      <c r="K258" s="21" t="n"/>
      <c r="L258" s="21" t="n"/>
      <c r="M258" s="20" t="n"/>
      <c r="N258" s="23" t="n"/>
      <c r="O258" s="21" t="n"/>
    </row>
    <row r="259">
      <c r="A259" s="19">
        <f>IF($C259="","CHƯA NHẬP",IF($B259="","HỢP LỆ","LỖI"))</f>
        <v/>
      </c>
      <c r="B259" s="19">
        <f>IF($C259="","",TEXTJOIN(" | ",TRUE,IF(COUNTIF('01_HO_SO'!$C$6:$C$505,$C259)=0,"Mã chưa có ở Bước 1",""),IF(COUNTIF($C$6:$C$505,$C259)&gt;1,"Trùng mã trong thông tin công việc",""),IF($D259="","Thiếu trạng thái làm việc",""),IF($E259="","Thiếu ngày vào công ty",IF(OR(NOT(ISNUMBER($E259)),$E259&gt;TODAY()),"Ngày vào công ty không hợp lệ","")),IF($G259="","Thiếu phòng ban",""),IF($I259="","Thiếu chức danh",""),IF(AND($M259&lt;&gt;"",COUNTIF('01_HO_SO'!$C$6:$C$505,$M259)=0),"Mã quản lý không tồn tại",""),IF(AND($M259&lt;&gt;"",$M259=$C259),"Không thể tự quản lý chính mình",""),IF(OR($N259&lt;0,$N259&gt;1000000000),"Lương cơ bản ngoài phạm vi","")))</f>
        <v/>
      </c>
      <c r="C259" s="20" t="n"/>
      <c r="D259" s="21" t="n"/>
      <c r="E259" s="22" t="n"/>
      <c r="F259" s="21" t="n"/>
      <c r="G259" s="21" t="n"/>
      <c r="H259" s="21" t="n"/>
      <c r="I259" s="21" t="n"/>
      <c r="J259" s="19">
        <f>IF($I259="","",IFERROR(INDEX(DANH_MUC!$D$4:$D$1000,MATCH($I259,DANH_MUC!$C$4:$C$1000,0)),""))</f>
        <v/>
      </c>
      <c r="K259" s="21" t="n"/>
      <c r="L259" s="21" t="n"/>
      <c r="M259" s="20" t="n"/>
      <c r="N259" s="23" t="n"/>
      <c r="O259" s="21" t="n"/>
    </row>
    <row r="260">
      <c r="A260" s="19">
        <f>IF($C260="","CHƯA NHẬP",IF($B260="","HỢP LỆ","LỖI"))</f>
        <v/>
      </c>
      <c r="B260" s="19">
        <f>IF($C260="","",TEXTJOIN(" | ",TRUE,IF(COUNTIF('01_HO_SO'!$C$6:$C$505,$C260)=0,"Mã chưa có ở Bước 1",""),IF(COUNTIF($C$6:$C$505,$C260)&gt;1,"Trùng mã trong thông tin công việc",""),IF($D260="","Thiếu trạng thái làm việc",""),IF($E260="","Thiếu ngày vào công ty",IF(OR(NOT(ISNUMBER($E260)),$E260&gt;TODAY()),"Ngày vào công ty không hợp lệ","")),IF($G260="","Thiếu phòng ban",""),IF($I260="","Thiếu chức danh",""),IF(AND($M260&lt;&gt;"",COUNTIF('01_HO_SO'!$C$6:$C$505,$M260)=0),"Mã quản lý không tồn tại",""),IF(AND($M260&lt;&gt;"",$M260=$C260),"Không thể tự quản lý chính mình",""),IF(OR($N260&lt;0,$N260&gt;1000000000),"Lương cơ bản ngoài phạm vi","")))</f>
        <v/>
      </c>
      <c r="C260" s="20" t="n"/>
      <c r="D260" s="21" t="n"/>
      <c r="E260" s="22" t="n"/>
      <c r="F260" s="21" t="n"/>
      <c r="G260" s="21" t="n"/>
      <c r="H260" s="21" t="n"/>
      <c r="I260" s="21" t="n"/>
      <c r="J260" s="19">
        <f>IF($I260="","",IFERROR(INDEX(DANH_MUC!$D$4:$D$1000,MATCH($I260,DANH_MUC!$C$4:$C$1000,0)),""))</f>
        <v/>
      </c>
      <c r="K260" s="21" t="n"/>
      <c r="L260" s="21" t="n"/>
      <c r="M260" s="20" t="n"/>
      <c r="N260" s="23" t="n"/>
      <c r="O260" s="21" t="n"/>
    </row>
    <row r="261">
      <c r="A261" s="19">
        <f>IF($C261="","CHƯA NHẬP",IF($B261="","HỢP LỆ","LỖI"))</f>
        <v/>
      </c>
      <c r="B261" s="19">
        <f>IF($C261="","",TEXTJOIN(" | ",TRUE,IF(COUNTIF('01_HO_SO'!$C$6:$C$505,$C261)=0,"Mã chưa có ở Bước 1",""),IF(COUNTIF($C$6:$C$505,$C261)&gt;1,"Trùng mã trong thông tin công việc",""),IF($D261="","Thiếu trạng thái làm việc",""),IF($E261="","Thiếu ngày vào công ty",IF(OR(NOT(ISNUMBER($E261)),$E261&gt;TODAY()),"Ngày vào công ty không hợp lệ","")),IF($G261="","Thiếu phòng ban",""),IF($I261="","Thiếu chức danh",""),IF(AND($M261&lt;&gt;"",COUNTIF('01_HO_SO'!$C$6:$C$505,$M261)=0),"Mã quản lý không tồn tại",""),IF(AND($M261&lt;&gt;"",$M261=$C261),"Không thể tự quản lý chính mình",""),IF(OR($N261&lt;0,$N261&gt;1000000000),"Lương cơ bản ngoài phạm vi","")))</f>
        <v/>
      </c>
      <c r="C261" s="20" t="n"/>
      <c r="D261" s="21" t="n"/>
      <c r="E261" s="22" t="n"/>
      <c r="F261" s="21" t="n"/>
      <c r="G261" s="21" t="n"/>
      <c r="H261" s="21" t="n"/>
      <c r="I261" s="21" t="n"/>
      <c r="J261" s="19">
        <f>IF($I261="","",IFERROR(INDEX(DANH_MUC!$D$4:$D$1000,MATCH($I261,DANH_MUC!$C$4:$C$1000,0)),""))</f>
        <v/>
      </c>
      <c r="K261" s="21" t="n"/>
      <c r="L261" s="21" t="n"/>
      <c r="M261" s="20" t="n"/>
      <c r="N261" s="23" t="n"/>
      <c r="O261" s="21" t="n"/>
    </row>
    <row r="262">
      <c r="A262" s="19">
        <f>IF($C262="","CHƯA NHẬP",IF($B262="","HỢP LỆ","LỖI"))</f>
        <v/>
      </c>
      <c r="B262" s="19">
        <f>IF($C262="","",TEXTJOIN(" | ",TRUE,IF(COUNTIF('01_HO_SO'!$C$6:$C$505,$C262)=0,"Mã chưa có ở Bước 1",""),IF(COUNTIF($C$6:$C$505,$C262)&gt;1,"Trùng mã trong thông tin công việc",""),IF($D262="","Thiếu trạng thái làm việc",""),IF($E262="","Thiếu ngày vào công ty",IF(OR(NOT(ISNUMBER($E262)),$E262&gt;TODAY()),"Ngày vào công ty không hợp lệ","")),IF($G262="","Thiếu phòng ban",""),IF($I262="","Thiếu chức danh",""),IF(AND($M262&lt;&gt;"",COUNTIF('01_HO_SO'!$C$6:$C$505,$M262)=0),"Mã quản lý không tồn tại",""),IF(AND($M262&lt;&gt;"",$M262=$C262),"Không thể tự quản lý chính mình",""),IF(OR($N262&lt;0,$N262&gt;1000000000),"Lương cơ bản ngoài phạm vi","")))</f>
        <v/>
      </c>
      <c r="C262" s="20" t="n"/>
      <c r="D262" s="21" t="n"/>
      <c r="E262" s="22" t="n"/>
      <c r="F262" s="21" t="n"/>
      <c r="G262" s="21" t="n"/>
      <c r="H262" s="21" t="n"/>
      <c r="I262" s="21" t="n"/>
      <c r="J262" s="19">
        <f>IF($I262="","",IFERROR(INDEX(DANH_MUC!$D$4:$D$1000,MATCH($I262,DANH_MUC!$C$4:$C$1000,0)),""))</f>
        <v/>
      </c>
      <c r="K262" s="21" t="n"/>
      <c r="L262" s="21" t="n"/>
      <c r="M262" s="20" t="n"/>
      <c r="N262" s="23" t="n"/>
      <c r="O262" s="21" t="n"/>
    </row>
    <row r="263">
      <c r="A263" s="19">
        <f>IF($C263="","CHƯA NHẬP",IF($B263="","HỢP LỆ","LỖI"))</f>
        <v/>
      </c>
      <c r="B263" s="19">
        <f>IF($C263="","",TEXTJOIN(" | ",TRUE,IF(COUNTIF('01_HO_SO'!$C$6:$C$505,$C263)=0,"Mã chưa có ở Bước 1",""),IF(COUNTIF($C$6:$C$505,$C263)&gt;1,"Trùng mã trong thông tin công việc",""),IF($D263="","Thiếu trạng thái làm việc",""),IF($E263="","Thiếu ngày vào công ty",IF(OR(NOT(ISNUMBER($E263)),$E263&gt;TODAY()),"Ngày vào công ty không hợp lệ","")),IF($G263="","Thiếu phòng ban",""),IF($I263="","Thiếu chức danh",""),IF(AND($M263&lt;&gt;"",COUNTIF('01_HO_SO'!$C$6:$C$505,$M263)=0),"Mã quản lý không tồn tại",""),IF(AND($M263&lt;&gt;"",$M263=$C263),"Không thể tự quản lý chính mình",""),IF(OR($N263&lt;0,$N263&gt;1000000000),"Lương cơ bản ngoài phạm vi","")))</f>
        <v/>
      </c>
      <c r="C263" s="20" t="n"/>
      <c r="D263" s="21" t="n"/>
      <c r="E263" s="22" t="n"/>
      <c r="F263" s="21" t="n"/>
      <c r="G263" s="21" t="n"/>
      <c r="H263" s="21" t="n"/>
      <c r="I263" s="21" t="n"/>
      <c r="J263" s="19">
        <f>IF($I263="","",IFERROR(INDEX(DANH_MUC!$D$4:$D$1000,MATCH($I263,DANH_MUC!$C$4:$C$1000,0)),""))</f>
        <v/>
      </c>
      <c r="K263" s="21" t="n"/>
      <c r="L263" s="21" t="n"/>
      <c r="M263" s="20" t="n"/>
      <c r="N263" s="23" t="n"/>
      <c r="O263" s="21" t="n"/>
    </row>
    <row r="264">
      <c r="A264" s="19">
        <f>IF($C264="","CHƯA NHẬP",IF($B264="","HỢP LỆ","LỖI"))</f>
        <v/>
      </c>
      <c r="B264" s="19">
        <f>IF($C264="","",TEXTJOIN(" | ",TRUE,IF(COUNTIF('01_HO_SO'!$C$6:$C$505,$C264)=0,"Mã chưa có ở Bước 1",""),IF(COUNTIF($C$6:$C$505,$C264)&gt;1,"Trùng mã trong thông tin công việc",""),IF($D264="","Thiếu trạng thái làm việc",""),IF($E264="","Thiếu ngày vào công ty",IF(OR(NOT(ISNUMBER($E264)),$E264&gt;TODAY()),"Ngày vào công ty không hợp lệ","")),IF($G264="","Thiếu phòng ban",""),IF($I264="","Thiếu chức danh",""),IF(AND($M264&lt;&gt;"",COUNTIF('01_HO_SO'!$C$6:$C$505,$M264)=0),"Mã quản lý không tồn tại",""),IF(AND($M264&lt;&gt;"",$M264=$C264),"Không thể tự quản lý chính mình",""),IF(OR($N264&lt;0,$N264&gt;1000000000),"Lương cơ bản ngoài phạm vi","")))</f>
        <v/>
      </c>
      <c r="C264" s="20" t="n"/>
      <c r="D264" s="21" t="n"/>
      <c r="E264" s="22" t="n"/>
      <c r="F264" s="21" t="n"/>
      <c r="G264" s="21" t="n"/>
      <c r="H264" s="21" t="n"/>
      <c r="I264" s="21" t="n"/>
      <c r="J264" s="19">
        <f>IF($I264="","",IFERROR(INDEX(DANH_MUC!$D$4:$D$1000,MATCH($I264,DANH_MUC!$C$4:$C$1000,0)),""))</f>
        <v/>
      </c>
      <c r="K264" s="21" t="n"/>
      <c r="L264" s="21" t="n"/>
      <c r="M264" s="20" t="n"/>
      <c r="N264" s="23" t="n"/>
      <c r="O264" s="21" t="n"/>
    </row>
    <row r="265">
      <c r="A265" s="19">
        <f>IF($C265="","CHƯA NHẬP",IF($B265="","HỢP LỆ","LỖI"))</f>
        <v/>
      </c>
      <c r="B265" s="19">
        <f>IF($C265="","",TEXTJOIN(" | ",TRUE,IF(COUNTIF('01_HO_SO'!$C$6:$C$505,$C265)=0,"Mã chưa có ở Bước 1",""),IF(COUNTIF($C$6:$C$505,$C265)&gt;1,"Trùng mã trong thông tin công việc",""),IF($D265="","Thiếu trạng thái làm việc",""),IF($E265="","Thiếu ngày vào công ty",IF(OR(NOT(ISNUMBER($E265)),$E265&gt;TODAY()),"Ngày vào công ty không hợp lệ","")),IF($G265="","Thiếu phòng ban",""),IF($I265="","Thiếu chức danh",""),IF(AND($M265&lt;&gt;"",COUNTIF('01_HO_SO'!$C$6:$C$505,$M265)=0),"Mã quản lý không tồn tại",""),IF(AND($M265&lt;&gt;"",$M265=$C265),"Không thể tự quản lý chính mình",""),IF(OR($N265&lt;0,$N265&gt;1000000000),"Lương cơ bản ngoài phạm vi","")))</f>
        <v/>
      </c>
      <c r="C265" s="20" t="n"/>
      <c r="D265" s="21" t="n"/>
      <c r="E265" s="22" t="n"/>
      <c r="F265" s="21" t="n"/>
      <c r="G265" s="21" t="n"/>
      <c r="H265" s="21" t="n"/>
      <c r="I265" s="21" t="n"/>
      <c r="J265" s="19">
        <f>IF($I265="","",IFERROR(INDEX(DANH_MUC!$D$4:$D$1000,MATCH($I265,DANH_MUC!$C$4:$C$1000,0)),""))</f>
        <v/>
      </c>
      <c r="K265" s="21" t="n"/>
      <c r="L265" s="21" t="n"/>
      <c r="M265" s="20" t="n"/>
      <c r="N265" s="23" t="n"/>
      <c r="O265" s="21" t="n"/>
    </row>
    <row r="266">
      <c r="A266" s="19">
        <f>IF($C266="","CHƯA NHẬP",IF($B266="","HỢP LỆ","LỖI"))</f>
        <v/>
      </c>
      <c r="B266" s="19">
        <f>IF($C266="","",TEXTJOIN(" | ",TRUE,IF(COUNTIF('01_HO_SO'!$C$6:$C$505,$C266)=0,"Mã chưa có ở Bước 1",""),IF(COUNTIF($C$6:$C$505,$C266)&gt;1,"Trùng mã trong thông tin công việc",""),IF($D266="","Thiếu trạng thái làm việc",""),IF($E266="","Thiếu ngày vào công ty",IF(OR(NOT(ISNUMBER($E266)),$E266&gt;TODAY()),"Ngày vào công ty không hợp lệ","")),IF($G266="","Thiếu phòng ban",""),IF($I266="","Thiếu chức danh",""),IF(AND($M266&lt;&gt;"",COUNTIF('01_HO_SO'!$C$6:$C$505,$M266)=0),"Mã quản lý không tồn tại",""),IF(AND($M266&lt;&gt;"",$M266=$C266),"Không thể tự quản lý chính mình",""),IF(OR($N266&lt;0,$N266&gt;1000000000),"Lương cơ bản ngoài phạm vi","")))</f>
        <v/>
      </c>
      <c r="C266" s="20" t="n"/>
      <c r="D266" s="21" t="n"/>
      <c r="E266" s="22" t="n"/>
      <c r="F266" s="21" t="n"/>
      <c r="G266" s="21" t="n"/>
      <c r="H266" s="21" t="n"/>
      <c r="I266" s="21" t="n"/>
      <c r="J266" s="19">
        <f>IF($I266="","",IFERROR(INDEX(DANH_MUC!$D$4:$D$1000,MATCH($I266,DANH_MUC!$C$4:$C$1000,0)),""))</f>
        <v/>
      </c>
      <c r="K266" s="21" t="n"/>
      <c r="L266" s="21" t="n"/>
      <c r="M266" s="20" t="n"/>
      <c r="N266" s="23" t="n"/>
      <c r="O266" s="21" t="n"/>
    </row>
    <row r="267">
      <c r="A267" s="19">
        <f>IF($C267="","CHƯA NHẬP",IF($B267="","HỢP LỆ","LỖI"))</f>
        <v/>
      </c>
      <c r="B267" s="19">
        <f>IF($C267="","",TEXTJOIN(" | ",TRUE,IF(COUNTIF('01_HO_SO'!$C$6:$C$505,$C267)=0,"Mã chưa có ở Bước 1",""),IF(COUNTIF($C$6:$C$505,$C267)&gt;1,"Trùng mã trong thông tin công việc",""),IF($D267="","Thiếu trạng thái làm việc",""),IF($E267="","Thiếu ngày vào công ty",IF(OR(NOT(ISNUMBER($E267)),$E267&gt;TODAY()),"Ngày vào công ty không hợp lệ","")),IF($G267="","Thiếu phòng ban",""),IF($I267="","Thiếu chức danh",""),IF(AND($M267&lt;&gt;"",COUNTIF('01_HO_SO'!$C$6:$C$505,$M267)=0),"Mã quản lý không tồn tại",""),IF(AND($M267&lt;&gt;"",$M267=$C267),"Không thể tự quản lý chính mình",""),IF(OR($N267&lt;0,$N267&gt;1000000000),"Lương cơ bản ngoài phạm vi","")))</f>
        <v/>
      </c>
      <c r="C267" s="20" t="n"/>
      <c r="D267" s="21" t="n"/>
      <c r="E267" s="22" t="n"/>
      <c r="F267" s="21" t="n"/>
      <c r="G267" s="21" t="n"/>
      <c r="H267" s="21" t="n"/>
      <c r="I267" s="21" t="n"/>
      <c r="J267" s="19">
        <f>IF($I267="","",IFERROR(INDEX(DANH_MUC!$D$4:$D$1000,MATCH($I267,DANH_MUC!$C$4:$C$1000,0)),""))</f>
        <v/>
      </c>
      <c r="K267" s="21" t="n"/>
      <c r="L267" s="21" t="n"/>
      <c r="M267" s="20" t="n"/>
      <c r="N267" s="23" t="n"/>
      <c r="O267" s="21" t="n"/>
    </row>
    <row r="268">
      <c r="A268" s="19">
        <f>IF($C268="","CHƯA NHẬP",IF($B268="","HỢP LỆ","LỖI"))</f>
        <v/>
      </c>
      <c r="B268" s="19">
        <f>IF($C268="","",TEXTJOIN(" | ",TRUE,IF(COUNTIF('01_HO_SO'!$C$6:$C$505,$C268)=0,"Mã chưa có ở Bước 1",""),IF(COUNTIF($C$6:$C$505,$C268)&gt;1,"Trùng mã trong thông tin công việc",""),IF($D268="","Thiếu trạng thái làm việc",""),IF($E268="","Thiếu ngày vào công ty",IF(OR(NOT(ISNUMBER($E268)),$E268&gt;TODAY()),"Ngày vào công ty không hợp lệ","")),IF($G268="","Thiếu phòng ban",""),IF($I268="","Thiếu chức danh",""),IF(AND($M268&lt;&gt;"",COUNTIF('01_HO_SO'!$C$6:$C$505,$M268)=0),"Mã quản lý không tồn tại",""),IF(AND($M268&lt;&gt;"",$M268=$C268),"Không thể tự quản lý chính mình",""),IF(OR($N268&lt;0,$N268&gt;1000000000),"Lương cơ bản ngoài phạm vi","")))</f>
        <v/>
      </c>
      <c r="C268" s="20" t="n"/>
      <c r="D268" s="21" t="n"/>
      <c r="E268" s="22" t="n"/>
      <c r="F268" s="21" t="n"/>
      <c r="G268" s="21" t="n"/>
      <c r="H268" s="21" t="n"/>
      <c r="I268" s="21" t="n"/>
      <c r="J268" s="19">
        <f>IF($I268="","",IFERROR(INDEX(DANH_MUC!$D$4:$D$1000,MATCH($I268,DANH_MUC!$C$4:$C$1000,0)),""))</f>
        <v/>
      </c>
      <c r="K268" s="21" t="n"/>
      <c r="L268" s="21" t="n"/>
      <c r="M268" s="20" t="n"/>
      <c r="N268" s="23" t="n"/>
      <c r="O268" s="21" t="n"/>
    </row>
    <row r="269">
      <c r="A269" s="19">
        <f>IF($C269="","CHƯA NHẬP",IF($B269="","HỢP LỆ","LỖI"))</f>
        <v/>
      </c>
      <c r="B269" s="19">
        <f>IF($C269="","",TEXTJOIN(" | ",TRUE,IF(COUNTIF('01_HO_SO'!$C$6:$C$505,$C269)=0,"Mã chưa có ở Bước 1",""),IF(COUNTIF($C$6:$C$505,$C269)&gt;1,"Trùng mã trong thông tin công việc",""),IF($D269="","Thiếu trạng thái làm việc",""),IF($E269="","Thiếu ngày vào công ty",IF(OR(NOT(ISNUMBER($E269)),$E269&gt;TODAY()),"Ngày vào công ty không hợp lệ","")),IF($G269="","Thiếu phòng ban",""),IF($I269="","Thiếu chức danh",""),IF(AND($M269&lt;&gt;"",COUNTIF('01_HO_SO'!$C$6:$C$505,$M269)=0),"Mã quản lý không tồn tại",""),IF(AND($M269&lt;&gt;"",$M269=$C269),"Không thể tự quản lý chính mình",""),IF(OR($N269&lt;0,$N269&gt;1000000000),"Lương cơ bản ngoài phạm vi","")))</f>
        <v/>
      </c>
      <c r="C269" s="20" t="n"/>
      <c r="D269" s="21" t="n"/>
      <c r="E269" s="22" t="n"/>
      <c r="F269" s="21" t="n"/>
      <c r="G269" s="21" t="n"/>
      <c r="H269" s="21" t="n"/>
      <c r="I269" s="21" t="n"/>
      <c r="J269" s="19">
        <f>IF($I269="","",IFERROR(INDEX(DANH_MUC!$D$4:$D$1000,MATCH($I269,DANH_MUC!$C$4:$C$1000,0)),""))</f>
        <v/>
      </c>
      <c r="K269" s="21" t="n"/>
      <c r="L269" s="21" t="n"/>
      <c r="M269" s="20" t="n"/>
      <c r="N269" s="23" t="n"/>
      <c r="O269" s="21" t="n"/>
    </row>
    <row r="270">
      <c r="A270" s="19">
        <f>IF($C270="","CHƯA NHẬP",IF($B270="","HỢP LỆ","LỖI"))</f>
        <v/>
      </c>
      <c r="B270" s="19">
        <f>IF($C270="","",TEXTJOIN(" | ",TRUE,IF(COUNTIF('01_HO_SO'!$C$6:$C$505,$C270)=0,"Mã chưa có ở Bước 1",""),IF(COUNTIF($C$6:$C$505,$C270)&gt;1,"Trùng mã trong thông tin công việc",""),IF($D270="","Thiếu trạng thái làm việc",""),IF($E270="","Thiếu ngày vào công ty",IF(OR(NOT(ISNUMBER($E270)),$E270&gt;TODAY()),"Ngày vào công ty không hợp lệ","")),IF($G270="","Thiếu phòng ban",""),IF($I270="","Thiếu chức danh",""),IF(AND($M270&lt;&gt;"",COUNTIF('01_HO_SO'!$C$6:$C$505,$M270)=0),"Mã quản lý không tồn tại",""),IF(AND($M270&lt;&gt;"",$M270=$C270),"Không thể tự quản lý chính mình",""),IF(OR($N270&lt;0,$N270&gt;1000000000),"Lương cơ bản ngoài phạm vi","")))</f>
        <v/>
      </c>
      <c r="C270" s="20" t="n"/>
      <c r="D270" s="21" t="n"/>
      <c r="E270" s="22" t="n"/>
      <c r="F270" s="21" t="n"/>
      <c r="G270" s="21" t="n"/>
      <c r="H270" s="21" t="n"/>
      <c r="I270" s="21" t="n"/>
      <c r="J270" s="19">
        <f>IF($I270="","",IFERROR(INDEX(DANH_MUC!$D$4:$D$1000,MATCH($I270,DANH_MUC!$C$4:$C$1000,0)),""))</f>
        <v/>
      </c>
      <c r="K270" s="21" t="n"/>
      <c r="L270" s="21" t="n"/>
      <c r="M270" s="20" t="n"/>
      <c r="N270" s="23" t="n"/>
      <c r="O270" s="21" t="n"/>
    </row>
    <row r="271">
      <c r="A271" s="19">
        <f>IF($C271="","CHƯA NHẬP",IF($B271="","HỢP LỆ","LỖI"))</f>
        <v/>
      </c>
      <c r="B271" s="19">
        <f>IF($C271="","",TEXTJOIN(" | ",TRUE,IF(COUNTIF('01_HO_SO'!$C$6:$C$505,$C271)=0,"Mã chưa có ở Bước 1",""),IF(COUNTIF($C$6:$C$505,$C271)&gt;1,"Trùng mã trong thông tin công việc",""),IF($D271="","Thiếu trạng thái làm việc",""),IF($E271="","Thiếu ngày vào công ty",IF(OR(NOT(ISNUMBER($E271)),$E271&gt;TODAY()),"Ngày vào công ty không hợp lệ","")),IF($G271="","Thiếu phòng ban",""),IF($I271="","Thiếu chức danh",""),IF(AND($M271&lt;&gt;"",COUNTIF('01_HO_SO'!$C$6:$C$505,$M271)=0),"Mã quản lý không tồn tại",""),IF(AND($M271&lt;&gt;"",$M271=$C271),"Không thể tự quản lý chính mình",""),IF(OR($N271&lt;0,$N271&gt;1000000000),"Lương cơ bản ngoài phạm vi","")))</f>
        <v/>
      </c>
      <c r="C271" s="20" t="n"/>
      <c r="D271" s="21" t="n"/>
      <c r="E271" s="22" t="n"/>
      <c r="F271" s="21" t="n"/>
      <c r="G271" s="21" t="n"/>
      <c r="H271" s="21" t="n"/>
      <c r="I271" s="21" t="n"/>
      <c r="J271" s="19">
        <f>IF($I271="","",IFERROR(INDEX(DANH_MUC!$D$4:$D$1000,MATCH($I271,DANH_MUC!$C$4:$C$1000,0)),""))</f>
        <v/>
      </c>
      <c r="K271" s="21" t="n"/>
      <c r="L271" s="21" t="n"/>
      <c r="M271" s="20" t="n"/>
      <c r="N271" s="23" t="n"/>
      <c r="O271" s="21" t="n"/>
    </row>
    <row r="272">
      <c r="A272" s="19">
        <f>IF($C272="","CHƯA NHẬP",IF($B272="","HỢP LỆ","LỖI"))</f>
        <v/>
      </c>
      <c r="B272" s="19">
        <f>IF($C272="","",TEXTJOIN(" | ",TRUE,IF(COUNTIF('01_HO_SO'!$C$6:$C$505,$C272)=0,"Mã chưa có ở Bước 1",""),IF(COUNTIF($C$6:$C$505,$C272)&gt;1,"Trùng mã trong thông tin công việc",""),IF($D272="","Thiếu trạng thái làm việc",""),IF($E272="","Thiếu ngày vào công ty",IF(OR(NOT(ISNUMBER($E272)),$E272&gt;TODAY()),"Ngày vào công ty không hợp lệ","")),IF($G272="","Thiếu phòng ban",""),IF($I272="","Thiếu chức danh",""),IF(AND($M272&lt;&gt;"",COUNTIF('01_HO_SO'!$C$6:$C$505,$M272)=0),"Mã quản lý không tồn tại",""),IF(AND($M272&lt;&gt;"",$M272=$C272),"Không thể tự quản lý chính mình",""),IF(OR($N272&lt;0,$N272&gt;1000000000),"Lương cơ bản ngoài phạm vi","")))</f>
        <v/>
      </c>
      <c r="C272" s="20" t="n"/>
      <c r="D272" s="21" t="n"/>
      <c r="E272" s="22" t="n"/>
      <c r="F272" s="21" t="n"/>
      <c r="G272" s="21" t="n"/>
      <c r="H272" s="21" t="n"/>
      <c r="I272" s="21" t="n"/>
      <c r="J272" s="19">
        <f>IF($I272="","",IFERROR(INDEX(DANH_MUC!$D$4:$D$1000,MATCH($I272,DANH_MUC!$C$4:$C$1000,0)),""))</f>
        <v/>
      </c>
      <c r="K272" s="21" t="n"/>
      <c r="L272" s="21" t="n"/>
      <c r="M272" s="20" t="n"/>
      <c r="N272" s="23" t="n"/>
      <c r="O272" s="21" t="n"/>
    </row>
    <row r="273">
      <c r="A273" s="19">
        <f>IF($C273="","CHƯA NHẬP",IF($B273="","HỢP LỆ","LỖI"))</f>
        <v/>
      </c>
      <c r="B273" s="19">
        <f>IF($C273="","",TEXTJOIN(" | ",TRUE,IF(COUNTIF('01_HO_SO'!$C$6:$C$505,$C273)=0,"Mã chưa có ở Bước 1",""),IF(COUNTIF($C$6:$C$505,$C273)&gt;1,"Trùng mã trong thông tin công việc",""),IF($D273="","Thiếu trạng thái làm việc",""),IF($E273="","Thiếu ngày vào công ty",IF(OR(NOT(ISNUMBER($E273)),$E273&gt;TODAY()),"Ngày vào công ty không hợp lệ","")),IF($G273="","Thiếu phòng ban",""),IF($I273="","Thiếu chức danh",""),IF(AND($M273&lt;&gt;"",COUNTIF('01_HO_SO'!$C$6:$C$505,$M273)=0),"Mã quản lý không tồn tại",""),IF(AND($M273&lt;&gt;"",$M273=$C273),"Không thể tự quản lý chính mình",""),IF(OR($N273&lt;0,$N273&gt;1000000000),"Lương cơ bản ngoài phạm vi","")))</f>
        <v/>
      </c>
      <c r="C273" s="20" t="n"/>
      <c r="D273" s="21" t="n"/>
      <c r="E273" s="22" t="n"/>
      <c r="F273" s="21" t="n"/>
      <c r="G273" s="21" t="n"/>
      <c r="H273" s="21" t="n"/>
      <c r="I273" s="21" t="n"/>
      <c r="J273" s="19">
        <f>IF($I273="","",IFERROR(INDEX(DANH_MUC!$D$4:$D$1000,MATCH($I273,DANH_MUC!$C$4:$C$1000,0)),""))</f>
        <v/>
      </c>
      <c r="K273" s="21" t="n"/>
      <c r="L273" s="21" t="n"/>
      <c r="M273" s="20" t="n"/>
      <c r="N273" s="23" t="n"/>
      <c r="O273" s="21" t="n"/>
    </row>
    <row r="274">
      <c r="A274" s="19">
        <f>IF($C274="","CHƯA NHẬP",IF($B274="","HỢP LỆ","LỖI"))</f>
        <v/>
      </c>
      <c r="B274" s="19">
        <f>IF($C274="","",TEXTJOIN(" | ",TRUE,IF(COUNTIF('01_HO_SO'!$C$6:$C$505,$C274)=0,"Mã chưa có ở Bước 1",""),IF(COUNTIF($C$6:$C$505,$C274)&gt;1,"Trùng mã trong thông tin công việc",""),IF($D274="","Thiếu trạng thái làm việc",""),IF($E274="","Thiếu ngày vào công ty",IF(OR(NOT(ISNUMBER($E274)),$E274&gt;TODAY()),"Ngày vào công ty không hợp lệ","")),IF($G274="","Thiếu phòng ban",""),IF($I274="","Thiếu chức danh",""),IF(AND($M274&lt;&gt;"",COUNTIF('01_HO_SO'!$C$6:$C$505,$M274)=0),"Mã quản lý không tồn tại",""),IF(AND($M274&lt;&gt;"",$M274=$C274),"Không thể tự quản lý chính mình",""),IF(OR($N274&lt;0,$N274&gt;1000000000),"Lương cơ bản ngoài phạm vi","")))</f>
        <v/>
      </c>
      <c r="C274" s="20" t="n"/>
      <c r="D274" s="21" t="n"/>
      <c r="E274" s="22" t="n"/>
      <c r="F274" s="21" t="n"/>
      <c r="G274" s="21" t="n"/>
      <c r="H274" s="21" t="n"/>
      <c r="I274" s="21" t="n"/>
      <c r="J274" s="19">
        <f>IF($I274="","",IFERROR(INDEX(DANH_MUC!$D$4:$D$1000,MATCH($I274,DANH_MUC!$C$4:$C$1000,0)),""))</f>
        <v/>
      </c>
      <c r="K274" s="21" t="n"/>
      <c r="L274" s="21" t="n"/>
      <c r="M274" s="20" t="n"/>
      <c r="N274" s="23" t="n"/>
      <c r="O274" s="21" t="n"/>
    </row>
    <row r="275">
      <c r="A275" s="19">
        <f>IF($C275="","CHƯA NHẬP",IF($B275="","HỢP LỆ","LỖI"))</f>
        <v/>
      </c>
      <c r="B275" s="19">
        <f>IF($C275="","",TEXTJOIN(" | ",TRUE,IF(COUNTIF('01_HO_SO'!$C$6:$C$505,$C275)=0,"Mã chưa có ở Bước 1",""),IF(COUNTIF($C$6:$C$505,$C275)&gt;1,"Trùng mã trong thông tin công việc",""),IF($D275="","Thiếu trạng thái làm việc",""),IF($E275="","Thiếu ngày vào công ty",IF(OR(NOT(ISNUMBER($E275)),$E275&gt;TODAY()),"Ngày vào công ty không hợp lệ","")),IF($G275="","Thiếu phòng ban",""),IF($I275="","Thiếu chức danh",""),IF(AND($M275&lt;&gt;"",COUNTIF('01_HO_SO'!$C$6:$C$505,$M275)=0),"Mã quản lý không tồn tại",""),IF(AND($M275&lt;&gt;"",$M275=$C275),"Không thể tự quản lý chính mình",""),IF(OR($N275&lt;0,$N275&gt;1000000000),"Lương cơ bản ngoài phạm vi","")))</f>
        <v/>
      </c>
      <c r="C275" s="20" t="n"/>
      <c r="D275" s="21" t="n"/>
      <c r="E275" s="22" t="n"/>
      <c r="F275" s="21" t="n"/>
      <c r="G275" s="21" t="n"/>
      <c r="H275" s="21" t="n"/>
      <c r="I275" s="21" t="n"/>
      <c r="J275" s="19">
        <f>IF($I275="","",IFERROR(INDEX(DANH_MUC!$D$4:$D$1000,MATCH($I275,DANH_MUC!$C$4:$C$1000,0)),""))</f>
        <v/>
      </c>
      <c r="K275" s="21" t="n"/>
      <c r="L275" s="21" t="n"/>
      <c r="M275" s="20" t="n"/>
      <c r="N275" s="23" t="n"/>
      <c r="O275" s="21" t="n"/>
    </row>
    <row r="276">
      <c r="A276" s="19">
        <f>IF($C276="","CHƯA NHẬP",IF($B276="","HỢP LỆ","LỖI"))</f>
        <v/>
      </c>
      <c r="B276" s="19">
        <f>IF($C276="","",TEXTJOIN(" | ",TRUE,IF(COUNTIF('01_HO_SO'!$C$6:$C$505,$C276)=0,"Mã chưa có ở Bước 1",""),IF(COUNTIF($C$6:$C$505,$C276)&gt;1,"Trùng mã trong thông tin công việc",""),IF($D276="","Thiếu trạng thái làm việc",""),IF($E276="","Thiếu ngày vào công ty",IF(OR(NOT(ISNUMBER($E276)),$E276&gt;TODAY()),"Ngày vào công ty không hợp lệ","")),IF($G276="","Thiếu phòng ban",""),IF($I276="","Thiếu chức danh",""),IF(AND($M276&lt;&gt;"",COUNTIF('01_HO_SO'!$C$6:$C$505,$M276)=0),"Mã quản lý không tồn tại",""),IF(AND($M276&lt;&gt;"",$M276=$C276),"Không thể tự quản lý chính mình",""),IF(OR($N276&lt;0,$N276&gt;1000000000),"Lương cơ bản ngoài phạm vi","")))</f>
        <v/>
      </c>
      <c r="C276" s="20" t="n"/>
      <c r="D276" s="21" t="n"/>
      <c r="E276" s="22" t="n"/>
      <c r="F276" s="21" t="n"/>
      <c r="G276" s="21" t="n"/>
      <c r="H276" s="21" t="n"/>
      <c r="I276" s="21" t="n"/>
      <c r="J276" s="19">
        <f>IF($I276="","",IFERROR(INDEX(DANH_MUC!$D$4:$D$1000,MATCH($I276,DANH_MUC!$C$4:$C$1000,0)),""))</f>
        <v/>
      </c>
      <c r="K276" s="21" t="n"/>
      <c r="L276" s="21" t="n"/>
      <c r="M276" s="20" t="n"/>
      <c r="N276" s="23" t="n"/>
      <c r="O276" s="21" t="n"/>
    </row>
    <row r="277">
      <c r="A277" s="19">
        <f>IF($C277="","CHƯA NHẬP",IF($B277="","HỢP LỆ","LỖI"))</f>
        <v/>
      </c>
      <c r="B277" s="19">
        <f>IF($C277="","",TEXTJOIN(" | ",TRUE,IF(COUNTIF('01_HO_SO'!$C$6:$C$505,$C277)=0,"Mã chưa có ở Bước 1",""),IF(COUNTIF($C$6:$C$505,$C277)&gt;1,"Trùng mã trong thông tin công việc",""),IF($D277="","Thiếu trạng thái làm việc",""),IF($E277="","Thiếu ngày vào công ty",IF(OR(NOT(ISNUMBER($E277)),$E277&gt;TODAY()),"Ngày vào công ty không hợp lệ","")),IF($G277="","Thiếu phòng ban",""),IF($I277="","Thiếu chức danh",""),IF(AND($M277&lt;&gt;"",COUNTIF('01_HO_SO'!$C$6:$C$505,$M277)=0),"Mã quản lý không tồn tại",""),IF(AND($M277&lt;&gt;"",$M277=$C277),"Không thể tự quản lý chính mình",""),IF(OR($N277&lt;0,$N277&gt;1000000000),"Lương cơ bản ngoài phạm vi","")))</f>
        <v/>
      </c>
      <c r="C277" s="20" t="n"/>
      <c r="D277" s="21" t="n"/>
      <c r="E277" s="22" t="n"/>
      <c r="F277" s="21" t="n"/>
      <c r="G277" s="21" t="n"/>
      <c r="H277" s="21" t="n"/>
      <c r="I277" s="21" t="n"/>
      <c r="J277" s="19">
        <f>IF($I277="","",IFERROR(INDEX(DANH_MUC!$D$4:$D$1000,MATCH($I277,DANH_MUC!$C$4:$C$1000,0)),""))</f>
        <v/>
      </c>
      <c r="K277" s="21" t="n"/>
      <c r="L277" s="21" t="n"/>
      <c r="M277" s="20" t="n"/>
      <c r="N277" s="23" t="n"/>
      <c r="O277" s="21" t="n"/>
    </row>
    <row r="278">
      <c r="A278" s="19">
        <f>IF($C278="","CHƯA NHẬP",IF($B278="","HỢP LỆ","LỖI"))</f>
        <v/>
      </c>
      <c r="B278" s="19">
        <f>IF($C278="","",TEXTJOIN(" | ",TRUE,IF(COUNTIF('01_HO_SO'!$C$6:$C$505,$C278)=0,"Mã chưa có ở Bước 1",""),IF(COUNTIF($C$6:$C$505,$C278)&gt;1,"Trùng mã trong thông tin công việc",""),IF($D278="","Thiếu trạng thái làm việc",""),IF($E278="","Thiếu ngày vào công ty",IF(OR(NOT(ISNUMBER($E278)),$E278&gt;TODAY()),"Ngày vào công ty không hợp lệ","")),IF($G278="","Thiếu phòng ban",""),IF($I278="","Thiếu chức danh",""),IF(AND($M278&lt;&gt;"",COUNTIF('01_HO_SO'!$C$6:$C$505,$M278)=0),"Mã quản lý không tồn tại",""),IF(AND($M278&lt;&gt;"",$M278=$C278),"Không thể tự quản lý chính mình",""),IF(OR($N278&lt;0,$N278&gt;1000000000),"Lương cơ bản ngoài phạm vi","")))</f>
        <v/>
      </c>
      <c r="C278" s="20" t="n"/>
      <c r="D278" s="21" t="n"/>
      <c r="E278" s="22" t="n"/>
      <c r="F278" s="21" t="n"/>
      <c r="G278" s="21" t="n"/>
      <c r="H278" s="21" t="n"/>
      <c r="I278" s="21" t="n"/>
      <c r="J278" s="19">
        <f>IF($I278="","",IFERROR(INDEX(DANH_MUC!$D$4:$D$1000,MATCH($I278,DANH_MUC!$C$4:$C$1000,0)),""))</f>
        <v/>
      </c>
      <c r="K278" s="21" t="n"/>
      <c r="L278" s="21" t="n"/>
      <c r="M278" s="20" t="n"/>
      <c r="N278" s="23" t="n"/>
      <c r="O278" s="21" t="n"/>
    </row>
    <row r="279">
      <c r="A279" s="19">
        <f>IF($C279="","CHƯA NHẬP",IF($B279="","HỢP LỆ","LỖI"))</f>
        <v/>
      </c>
      <c r="B279" s="19">
        <f>IF($C279="","",TEXTJOIN(" | ",TRUE,IF(COUNTIF('01_HO_SO'!$C$6:$C$505,$C279)=0,"Mã chưa có ở Bước 1",""),IF(COUNTIF($C$6:$C$505,$C279)&gt;1,"Trùng mã trong thông tin công việc",""),IF($D279="","Thiếu trạng thái làm việc",""),IF($E279="","Thiếu ngày vào công ty",IF(OR(NOT(ISNUMBER($E279)),$E279&gt;TODAY()),"Ngày vào công ty không hợp lệ","")),IF($G279="","Thiếu phòng ban",""),IF($I279="","Thiếu chức danh",""),IF(AND($M279&lt;&gt;"",COUNTIF('01_HO_SO'!$C$6:$C$505,$M279)=0),"Mã quản lý không tồn tại",""),IF(AND($M279&lt;&gt;"",$M279=$C279),"Không thể tự quản lý chính mình",""),IF(OR($N279&lt;0,$N279&gt;1000000000),"Lương cơ bản ngoài phạm vi","")))</f>
        <v/>
      </c>
      <c r="C279" s="20" t="n"/>
      <c r="D279" s="21" t="n"/>
      <c r="E279" s="22" t="n"/>
      <c r="F279" s="21" t="n"/>
      <c r="G279" s="21" t="n"/>
      <c r="H279" s="21" t="n"/>
      <c r="I279" s="21" t="n"/>
      <c r="J279" s="19">
        <f>IF($I279="","",IFERROR(INDEX(DANH_MUC!$D$4:$D$1000,MATCH($I279,DANH_MUC!$C$4:$C$1000,0)),""))</f>
        <v/>
      </c>
      <c r="K279" s="21" t="n"/>
      <c r="L279" s="21" t="n"/>
      <c r="M279" s="20" t="n"/>
      <c r="N279" s="23" t="n"/>
      <c r="O279" s="21" t="n"/>
    </row>
    <row r="280">
      <c r="A280" s="19">
        <f>IF($C280="","CHƯA NHẬP",IF($B280="","HỢP LỆ","LỖI"))</f>
        <v/>
      </c>
      <c r="B280" s="19">
        <f>IF($C280="","",TEXTJOIN(" | ",TRUE,IF(COUNTIF('01_HO_SO'!$C$6:$C$505,$C280)=0,"Mã chưa có ở Bước 1",""),IF(COUNTIF($C$6:$C$505,$C280)&gt;1,"Trùng mã trong thông tin công việc",""),IF($D280="","Thiếu trạng thái làm việc",""),IF($E280="","Thiếu ngày vào công ty",IF(OR(NOT(ISNUMBER($E280)),$E280&gt;TODAY()),"Ngày vào công ty không hợp lệ","")),IF($G280="","Thiếu phòng ban",""),IF($I280="","Thiếu chức danh",""),IF(AND($M280&lt;&gt;"",COUNTIF('01_HO_SO'!$C$6:$C$505,$M280)=0),"Mã quản lý không tồn tại",""),IF(AND($M280&lt;&gt;"",$M280=$C280),"Không thể tự quản lý chính mình",""),IF(OR($N280&lt;0,$N280&gt;1000000000),"Lương cơ bản ngoài phạm vi","")))</f>
        <v/>
      </c>
      <c r="C280" s="20" t="n"/>
      <c r="D280" s="21" t="n"/>
      <c r="E280" s="22" t="n"/>
      <c r="F280" s="21" t="n"/>
      <c r="G280" s="21" t="n"/>
      <c r="H280" s="21" t="n"/>
      <c r="I280" s="21" t="n"/>
      <c r="J280" s="19">
        <f>IF($I280="","",IFERROR(INDEX(DANH_MUC!$D$4:$D$1000,MATCH($I280,DANH_MUC!$C$4:$C$1000,0)),""))</f>
        <v/>
      </c>
      <c r="K280" s="21" t="n"/>
      <c r="L280" s="21" t="n"/>
      <c r="M280" s="20" t="n"/>
      <c r="N280" s="23" t="n"/>
      <c r="O280" s="21" t="n"/>
    </row>
    <row r="281">
      <c r="A281" s="19">
        <f>IF($C281="","CHƯA NHẬP",IF($B281="","HỢP LỆ","LỖI"))</f>
        <v/>
      </c>
      <c r="B281" s="19">
        <f>IF($C281="","",TEXTJOIN(" | ",TRUE,IF(COUNTIF('01_HO_SO'!$C$6:$C$505,$C281)=0,"Mã chưa có ở Bước 1",""),IF(COUNTIF($C$6:$C$505,$C281)&gt;1,"Trùng mã trong thông tin công việc",""),IF($D281="","Thiếu trạng thái làm việc",""),IF($E281="","Thiếu ngày vào công ty",IF(OR(NOT(ISNUMBER($E281)),$E281&gt;TODAY()),"Ngày vào công ty không hợp lệ","")),IF($G281="","Thiếu phòng ban",""),IF($I281="","Thiếu chức danh",""),IF(AND($M281&lt;&gt;"",COUNTIF('01_HO_SO'!$C$6:$C$505,$M281)=0),"Mã quản lý không tồn tại",""),IF(AND($M281&lt;&gt;"",$M281=$C281),"Không thể tự quản lý chính mình",""),IF(OR($N281&lt;0,$N281&gt;1000000000),"Lương cơ bản ngoài phạm vi","")))</f>
        <v/>
      </c>
      <c r="C281" s="20" t="n"/>
      <c r="D281" s="21" t="n"/>
      <c r="E281" s="22" t="n"/>
      <c r="F281" s="21" t="n"/>
      <c r="G281" s="21" t="n"/>
      <c r="H281" s="21" t="n"/>
      <c r="I281" s="21" t="n"/>
      <c r="J281" s="19">
        <f>IF($I281="","",IFERROR(INDEX(DANH_MUC!$D$4:$D$1000,MATCH($I281,DANH_MUC!$C$4:$C$1000,0)),""))</f>
        <v/>
      </c>
      <c r="K281" s="21" t="n"/>
      <c r="L281" s="21" t="n"/>
      <c r="M281" s="20" t="n"/>
      <c r="N281" s="23" t="n"/>
      <c r="O281" s="21" t="n"/>
    </row>
    <row r="282">
      <c r="A282" s="19">
        <f>IF($C282="","CHƯA NHẬP",IF($B282="","HỢP LỆ","LỖI"))</f>
        <v/>
      </c>
      <c r="B282" s="19">
        <f>IF($C282="","",TEXTJOIN(" | ",TRUE,IF(COUNTIF('01_HO_SO'!$C$6:$C$505,$C282)=0,"Mã chưa có ở Bước 1",""),IF(COUNTIF($C$6:$C$505,$C282)&gt;1,"Trùng mã trong thông tin công việc",""),IF($D282="","Thiếu trạng thái làm việc",""),IF($E282="","Thiếu ngày vào công ty",IF(OR(NOT(ISNUMBER($E282)),$E282&gt;TODAY()),"Ngày vào công ty không hợp lệ","")),IF($G282="","Thiếu phòng ban",""),IF($I282="","Thiếu chức danh",""),IF(AND($M282&lt;&gt;"",COUNTIF('01_HO_SO'!$C$6:$C$505,$M282)=0),"Mã quản lý không tồn tại",""),IF(AND($M282&lt;&gt;"",$M282=$C282),"Không thể tự quản lý chính mình",""),IF(OR($N282&lt;0,$N282&gt;1000000000),"Lương cơ bản ngoài phạm vi","")))</f>
        <v/>
      </c>
      <c r="C282" s="20" t="n"/>
      <c r="D282" s="21" t="n"/>
      <c r="E282" s="22" t="n"/>
      <c r="F282" s="21" t="n"/>
      <c r="G282" s="21" t="n"/>
      <c r="H282" s="21" t="n"/>
      <c r="I282" s="21" t="n"/>
      <c r="J282" s="19">
        <f>IF($I282="","",IFERROR(INDEX(DANH_MUC!$D$4:$D$1000,MATCH($I282,DANH_MUC!$C$4:$C$1000,0)),""))</f>
        <v/>
      </c>
      <c r="K282" s="21" t="n"/>
      <c r="L282" s="21" t="n"/>
      <c r="M282" s="20" t="n"/>
      <c r="N282" s="23" t="n"/>
      <c r="O282" s="21" t="n"/>
    </row>
    <row r="283">
      <c r="A283" s="19">
        <f>IF($C283="","CHƯA NHẬP",IF($B283="","HỢP LỆ","LỖI"))</f>
        <v/>
      </c>
      <c r="B283" s="19">
        <f>IF($C283="","",TEXTJOIN(" | ",TRUE,IF(COUNTIF('01_HO_SO'!$C$6:$C$505,$C283)=0,"Mã chưa có ở Bước 1",""),IF(COUNTIF($C$6:$C$505,$C283)&gt;1,"Trùng mã trong thông tin công việc",""),IF($D283="","Thiếu trạng thái làm việc",""),IF($E283="","Thiếu ngày vào công ty",IF(OR(NOT(ISNUMBER($E283)),$E283&gt;TODAY()),"Ngày vào công ty không hợp lệ","")),IF($G283="","Thiếu phòng ban",""),IF($I283="","Thiếu chức danh",""),IF(AND($M283&lt;&gt;"",COUNTIF('01_HO_SO'!$C$6:$C$505,$M283)=0),"Mã quản lý không tồn tại",""),IF(AND($M283&lt;&gt;"",$M283=$C283),"Không thể tự quản lý chính mình",""),IF(OR($N283&lt;0,$N283&gt;1000000000),"Lương cơ bản ngoài phạm vi","")))</f>
        <v/>
      </c>
      <c r="C283" s="20" t="n"/>
      <c r="D283" s="21" t="n"/>
      <c r="E283" s="22" t="n"/>
      <c r="F283" s="21" t="n"/>
      <c r="G283" s="21" t="n"/>
      <c r="H283" s="21" t="n"/>
      <c r="I283" s="21" t="n"/>
      <c r="J283" s="19">
        <f>IF($I283="","",IFERROR(INDEX(DANH_MUC!$D$4:$D$1000,MATCH($I283,DANH_MUC!$C$4:$C$1000,0)),""))</f>
        <v/>
      </c>
      <c r="K283" s="21" t="n"/>
      <c r="L283" s="21" t="n"/>
      <c r="M283" s="20" t="n"/>
      <c r="N283" s="23" t="n"/>
      <c r="O283" s="21" t="n"/>
    </row>
    <row r="284">
      <c r="A284" s="19">
        <f>IF($C284="","CHƯA NHẬP",IF($B284="","HỢP LỆ","LỖI"))</f>
        <v/>
      </c>
      <c r="B284" s="19">
        <f>IF($C284="","",TEXTJOIN(" | ",TRUE,IF(COUNTIF('01_HO_SO'!$C$6:$C$505,$C284)=0,"Mã chưa có ở Bước 1",""),IF(COUNTIF($C$6:$C$505,$C284)&gt;1,"Trùng mã trong thông tin công việc",""),IF($D284="","Thiếu trạng thái làm việc",""),IF($E284="","Thiếu ngày vào công ty",IF(OR(NOT(ISNUMBER($E284)),$E284&gt;TODAY()),"Ngày vào công ty không hợp lệ","")),IF($G284="","Thiếu phòng ban",""),IF($I284="","Thiếu chức danh",""),IF(AND($M284&lt;&gt;"",COUNTIF('01_HO_SO'!$C$6:$C$505,$M284)=0),"Mã quản lý không tồn tại",""),IF(AND($M284&lt;&gt;"",$M284=$C284),"Không thể tự quản lý chính mình",""),IF(OR($N284&lt;0,$N284&gt;1000000000),"Lương cơ bản ngoài phạm vi","")))</f>
        <v/>
      </c>
      <c r="C284" s="20" t="n"/>
      <c r="D284" s="21" t="n"/>
      <c r="E284" s="22" t="n"/>
      <c r="F284" s="21" t="n"/>
      <c r="G284" s="21" t="n"/>
      <c r="H284" s="21" t="n"/>
      <c r="I284" s="21" t="n"/>
      <c r="J284" s="19">
        <f>IF($I284="","",IFERROR(INDEX(DANH_MUC!$D$4:$D$1000,MATCH($I284,DANH_MUC!$C$4:$C$1000,0)),""))</f>
        <v/>
      </c>
      <c r="K284" s="21" t="n"/>
      <c r="L284" s="21" t="n"/>
      <c r="M284" s="20" t="n"/>
      <c r="N284" s="23" t="n"/>
      <c r="O284" s="21" t="n"/>
    </row>
    <row r="285">
      <c r="A285" s="19">
        <f>IF($C285="","CHƯA NHẬP",IF($B285="","HỢP LỆ","LỖI"))</f>
        <v/>
      </c>
      <c r="B285" s="19">
        <f>IF($C285="","",TEXTJOIN(" | ",TRUE,IF(COUNTIF('01_HO_SO'!$C$6:$C$505,$C285)=0,"Mã chưa có ở Bước 1",""),IF(COUNTIF($C$6:$C$505,$C285)&gt;1,"Trùng mã trong thông tin công việc",""),IF($D285="","Thiếu trạng thái làm việc",""),IF($E285="","Thiếu ngày vào công ty",IF(OR(NOT(ISNUMBER($E285)),$E285&gt;TODAY()),"Ngày vào công ty không hợp lệ","")),IF($G285="","Thiếu phòng ban",""),IF($I285="","Thiếu chức danh",""),IF(AND($M285&lt;&gt;"",COUNTIF('01_HO_SO'!$C$6:$C$505,$M285)=0),"Mã quản lý không tồn tại",""),IF(AND($M285&lt;&gt;"",$M285=$C285),"Không thể tự quản lý chính mình",""),IF(OR($N285&lt;0,$N285&gt;1000000000),"Lương cơ bản ngoài phạm vi","")))</f>
        <v/>
      </c>
      <c r="C285" s="20" t="n"/>
      <c r="D285" s="21" t="n"/>
      <c r="E285" s="22" t="n"/>
      <c r="F285" s="21" t="n"/>
      <c r="G285" s="21" t="n"/>
      <c r="H285" s="21" t="n"/>
      <c r="I285" s="21" t="n"/>
      <c r="J285" s="19">
        <f>IF($I285="","",IFERROR(INDEX(DANH_MUC!$D$4:$D$1000,MATCH($I285,DANH_MUC!$C$4:$C$1000,0)),""))</f>
        <v/>
      </c>
      <c r="K285" s="21" t="n"/>
      <c r="L285" s="21" t="n"/>
      <c r="M285" s="20" t="n"/>
      <c r="N285" s="23" t="n"/>
      <c r="O285" s="21" t="n"/>
    </row>
    <row r="286">
      <c r="A286" s="19">
        <f>IF($C286="","CHƯA NHẬP",IF($B286="","HỢP LỆ","LỖI"))</f>
        <v/>
      </c>
      <c r="B286" s="19">
        <f>IF($C286="","",TEXTJOIN(" | ",TRUE,IF(COUNTIF('01_HO_SO'!$C$6:$C$505,$C286)=0,"Mã chưa có ở Bước 1",""),IF(COUNTIF($C$6:$C$505,$C286)&gt;1,"Trùng mã trong thông tin công việc",""),IF($D286="","Thiếu trạng thái làm việc",""),IF($E286="","Thiếu ngày vào công ty",IF(OR(NOT(ISNUMBER($E286)),$E286&gt;TODAY()),"Ngày vào công ty không hợp lệ","")),IF($G286="","Thiếu phòng ban",""),IF($I286="","Thiếu chức danh",""),IF(AND($M286&lt;&gt;"",COUNTIF('01_HO_SO'!$C$6:$C$505,$M286)=0),"Mã quản lý không tồn tại",""),IF(AND($M286&lt;&gt;"",$M286=$C286),"Không thể tự quản lý chính mình",""),IF(OR($N286&lt;0,$N286&gt;1000000000),"Lương cơ bản ngoài phạm vi","")))</f>
        <v/>
      </c>
      <c r="C286" s="20" t="n"/>
      <c r="D286" s="21" t="n"/>
      <c r="E286" s="22" t="n"/>
      <c r="F286" s="21" t="n"/>
      <c r="G286" s="21" t="n"/>
      <c r="H286" s="21" t="n"/>
      <c r="I286" s="21" t="n"/>
      <c r="J286" s="19">
        <f>IF($I286="","",IFERROR(INDEX(DANH_MUC!$D$4:$D$1000,MATCH($I286,DANH_MUC!$C$4:$C$1000,0)),""))</f>
        <v/>
      </c>
      <c r="K286" s="21" t="n"/>
      <c r="L286" s="21" t="n"/>
      <c r="M286" s="20" t="n"/>
      <c r="N286" s="23" t="n"/>
      <c r="O286" s="21" t="n"/>
    </row>
    <row r="287">
      <c r="A287" s="19">
        <f>IF($C287="","CHƯA NHẬP",IF($B287="","HỢP LỆ","LỖI"))</f>
        <v/>
      </c>
      <c r="B287" s="19">
        <f>IF($C287="","",TEXTJOIN(" | ",TRUE,IF(COUNTIF('01_HO_SO'!$C$6:$C$505,$C287)=0,"Mã chưa có ở Bước 1",""),IF(COUNTIF($C$6:$C$505,$C287)&gt;1,"Trùng mã trong thông tin công việc",""),IF($D287="","Thiếu trạng thái làm việc",""),IF($E287="","Thiếu ngày vào công ty",IF(OR(NOT(ISNUMBER($E287)),$E287&gt;TODAY()),"Ngày vào công ty không hợp lệ","")),IF($G287="","Thiếu phòng ban",""),IF($I287="","Thiếu chức danh",""),IF(AND($M287&lt;&gt;"",COUNTIF('01_HO_SO'!$C$6:$C$505,$M287)=0),"Mã quản lý không tồn tại",""),IF(AND($M287&lt;&gt;"",$M287=$C287),"Không thể tự quản lý chính mình",""),IF(OR($N287&lt;0,$N287&gt;1000000000),"Lương cơ bản ngoài phạm vi","")))</f>
        <v/>
      </c>
      <c r="C287" s="20" t="n"/>
      <c r="D287" s="21" t="n"/>
      <c r="E287" s="22" t="n"/>
      <c r="F287" s="21" t="n"/>
      <c r="G287" s="21" t="n"/>
      <c r="H287" s="21" t="n"/>
      <c r="I287" s="21" t="n"/>
      <c r="J287" s="19">
        <f>IF($I287="","",IFERROR(INDEX(DANH_MUC!$D$4:$D$1000,MATCH($I287,DANH_MUC!$C$4:$C$1000,0)),""))</f>
        <v/>
      </c>
      <c r="K287" s="21" t="n"/>
      <c r="L287" s="21" t="n"/>
      <c r="M287" s="20" t="n"/>
      <c r="N287" s="23" t="n"/>
      <c r="O287" s="21" t="n"/>
    </row>
    <row r="288">
      <c r="A288" s="19">
        <f>IF($C288="","CHƯA NHẬP",IF($B288="","HỢP LỆ","LỖI"))</f>
        <v/>
      </c>
      <c r="B288" s="19">
        <f>IF($C288="","",TEXTJOIN(" | ",TRUE,IF(COUNTIF('01_HO_SO'!$C$6:$C$505,$C288)=0,"Mã chưa có ở Bước 1",""),IF(COUNTIF($C$6:$C$505,$C288)&gt;1,"Trùng mã trong thông tin công việc",""),IF($D288="","Thiếu trạng thái làm việc",""),IF($E288="","Thiếu ngày vào công ty",IF(OR(NOT(ISNUMBER($E288)),$E288&gt;TODAY()),"Ngày vào công ty không hợp lệ","")),IF($G288="","Thiếu phòng ban",""),IF($I288="","Thiếu chức danh",""),IF(AND($M288&lt;&gt;"",COUNTIF('01_HO_SO'!$C$6:$C$505,$M288)=0),"Mã quản lý không tồn tại",""),IF(AND($M288&lt;&gt;"",$M288=$C288),"Không thể tự quản lý chính mình",""),IF(OR($N288&lt;0,$N288&gt;1000000000),"Lương cơ bản ngoài phạm vi","")))</f>
        <v/>
      </c>
      <c r="C288" s="20" t="n"/>
      <c r="D288" s="21" t="n"/>
      <c r="E288" s="22" t="n"/>
      <c r="F288" s="21" t="n"/>
      <c r="G288" s="21" t="n"/>
      <c r="H288" s="21" t="n"/>
      <c r="I288" s="21" t="n"/>
      <c r="J288" s="19">
        <f>IF($I288="","",IFERROR(INDEX(DANH_MUC!$D$4:$D$1000,MATCH($I288,DANH_MUC!$C$4:$C$1000,0)),""))</f>
        <v/>
      </c>
      <c r="K288" s="21" t="n"/>
      <c r="L288" s="21" t="n"/>
      <c r="M288" s="20" t="n"/>
      <c r="N288" s="23" t="n"/>
      <c r="O288" s="21" t="n"/>
    </row>
    <row r="289">
      <c r="A289" s="19">
        <f>IF($C289="","CHƯA NHẬP",IF($B289="","HỢP LỆ","LỖI"))</f>
        <v/>
      </c>
      <c r="B289" s="19">
        <f>IF($C289="","",TEXTJOIN(" | ",TRUE,IF(COUNTIF('01_HO_SO'!$C$6:$C$505,$C289)=0,"Mã chưa có ở Bước 1",""),IF(COUNTIF($C$6:$C$505,$C289)&gt;1,"Trùng mã trong thông tin công việc",""),IF($D289="","Thiếu trạng thái làm việc",""),IF($E289="","Thiếu ngày vào công ty",IF(OR(NOT(ISNUMBER($E289)),$E289&gt;TODAY()),"Ngày vào công ty không hợp lệ","")),IF($G289="","Thiếu phòng ban",""),IF($I289="","Thiếu chức danh",""),IF(AND($M289&lt;&gt;"",COUNTIF('01_HO_SO'!$C$6:$C$505,$M289)=0),"Mã quản lý không tồn tại",""),IF(AND($M289&lt;&gt;"",$M289=$C289),"Không thể tự quản lý chính mình",""),IF(OR($N289&lt;0,$N289&gt;1000000000),"Lương cơ bản ngoài phạm vi","")))</f>
        <v/>
      </c>
      <c r="C289" s="20" t="n"/>
      <c r="D289" s="21" t="n"/>
      <c r="E289" s="22" t="n"/>
      <c r="F289" s="21" t="n"/>
      <c r="G289" s="21" t="n"/>
      <c r="H289" s="21" t="n"/>
      <c r="I289" s="21" t="n"/>
      <c r="J289" s="19">
        <f>IF($I289="","",IFERROR(INDEX(DANH_MUC!$D$4:$D$1000,MATCH($I289,DANH_MUC!$C$4:$C$1000,0)),""))</f>
        <v/>
      </c>
      <c r="K289" s="21" t="n"/>
      <c r="L289" s="21" t="n"/>
      <c r="M289" s="20" t="n"/>
      <c r="N289" s="23" t="n"/>
      <c r="O289" s="21" t="n"/>
    </row>
    <row r="290">
      <c r="A290" s="19">
        <f>IF($C290="","CHƯA NHẬP",IF($B290="","HỢP LỆ","LỖI"))</f>
        <v/>
      </c>
      <c r="B290" s="19">
        <f>IF($C290="","",TEXTJOIN(" | ",TRUE,IF(COUNTIF('01_HO_SO'!$C$6:$C$505,$C290)=0,"Mã chưa có ở Bước 1",""),IF(COUNTIF($C$6:$C$505,$C290)&gt;1,"Trùng mã trong thông tin công việc",""),IF($D290="","Thiếu trạng thái làm việc",""),IF($E290="","Thiếu ngày vào công ty",IF(OR(NOT(ISNUMBER($E290)),$E290&gt;TODAY()),"Ngày vào công ty không hợp lệ","")),IF($G290="","Thiếu phòng ban",""),IF($I290="","Thiếu chức danh",""),IF(AND($M290&lt;&gt;"",COUNTIF('01_HO_SO'!$C$6:$C$505,$M290)=0),"Mã quản lý không tồn tại",""),IF(AND($M290&lt;&gt;"",$M290=$C290),"Không thể tự quản lý chính mình",""),IF(OR($N290&lt;0,$N290&gt;1000000000),"Lương cơ bản ngoài phạm vi","")))</f>
        <v/>
      </c>
      <c r="C290" s="20" t="n"/>
      <c r="D290" s="21" t="n"/>
      <c r="E290" s="22" t="n"/>
      <c r="F290" s="21" t="n"/>
      <c r="G290" s="21" t="n"/>
      <c r="H290" s="21" t="n"/>
      <c r="I290" s="21" t="n"/>
      <c r="J290" s="19">
        <f>IF($I290="","",IFERROR(INDEX(DANH_MUC!$D$4:$D$1000,MATCH($I290,DANH_MUC!$C$4:$C$1000,0)),""))</f>
        <v/>
      </c>
      <c r="K290" s="21" t="n"/>
      <c r="L290" s="21" t="n"/>
      <c r="M290" s="20" t="n"/>
      <c r="N290" s="23" t="n"/>
      <c r="O290" s="21" t="n"/>
    </row>
    <row r="291">
      <c r="A291" s="19">
        <f>IF($C291="","CHƯA NHẬP",IF($B291="","HỢP LỆ","LỖI"))</f>
        <v/>
      </c>
      <c r="B291" s="19">
        <f>IF($C291="","",TEXTJOIN(" | ",TRUE,IF(COUNTIF('01_HO_SO'!$C$6:$C$505,$C291)=0,"Mã chưa có ở Bước 1",""),IF(COUNTIF($C$6:$C$505,$C291)&gt;1,"Trùng mã trong thông tin công việc",""),IF($D291="","Thiếu trạng thái làm việc",""),IF($E291="","Thiếu ngày vào công ty",IF(OR(NOT(ISNUMBER($E291)),$E291&gt;TODAY()),"Ngày vào công ty không hợp lệ","")),IF($G291="","Thiếu phòng ban",""),IF($I291="","Thiếu chức danh",""),IF(AND($M291&lt;&gt;"",COUNTIF('01_HO_SO'!$C$6:$C$505,$M291)=0),"Mã quản lý không tồn tại",""),IF(AND($M291&lt;&gt;"",$M291=$C291),"Không thể tự quản lý chính mình",""),IF(OR($N291&lt;0,$N291&gt;1000000000),"Lương cơ bản ngoài phạm vi","")))</f>
        <v/>
      </c>
      <c r="C291" s="20" t="n"/>
      <c r="D291" s="21" t="n"/>
      <c r="E291" s="22" t="n"/>
      <c r="F291" s="21" t="n"/>
      <c r="G291" s="21" t="n"/>
      <c r="H291" s="21" t="n"/>
      <c r="I291" s="21" t="n"/>
      <c r="J291" s="19">
        <f>IF($I291="","",IFERROR(INDEX(DANH_MUC!$D$4:$D$1000,MATCH($I291,DANH_MUC!$C$4:$C$1000,0)),""))</f>
        <v/>
      </c>
      <c r="K291" s="21" t="n"/>
      <c r="L291" s="21" t="n"/>
      <c r="M291" s="20" t="n"/>
      <c r="N291" s="23" t="n"/>
      <c r="O291" s="21" t="n"/>
    </row>
    <row r="292">
      <c r="A292" s="19">
        <f>IF($C292="","CHƯA NHẬP",IF($B292="","HỢP LỆ","LỖI"))</f>
        <v/>
      </c>
      <c r="B292" s="19">
        <f>IF($C292="","",TEXTJOIN(" | ",TRUE,IF(COUNTIF('01_HO_SO'!$C$6:$C$505,$C292)=0,"Mã chưa có ở Bước 1",""),IF(COUNTIF($C$6:$C$505,$C292)&gt;1,"Trùng mã trong thông tin công việc",""),IF($D292="","Thiếu trạng thái làm việc",""),IF($E292="","Thiếu ngày vào công ty",IF(OR(NOT(ISNUMBER($E292)),$E292&gt;TODAY()),"Ngày vào công ty không hợp lệ","")),IF($G292="","Thiếu phòng ban",""),IF($I292="","Thiếu chức danh",""),IF(AND($M292&lt;&gt;"",COUNTIF('01_HO_SO'!$C$6:$C$505,$M292)=0),"Mã quản lý không tồn tại",""),IF(AND($M292&lt;&gt;"",$M292=$C292),"Không thể tự quản lý chính mình",""),IF(OR($N292&lt;0,$N292&gt;1000000000),"Lương cơ bản ngoài phạm vi","")))</f>
        <v/>
      </c>
      <c r="C292" s="20" t="n"/>
      <c r="D292" s="21" t="n"/>
      <c r="E292" s="22" t="n"/>
      <c r="F292" s="21" t="n"/>
      <c r="G292" s="21" t="n"/>
      <c r="H292" s="21" t="n"/>
      <c r="I292" s="21" t="n"/>
      <c r="J292" s="19">
        <f>IF($I292="","",IFERROR(INDEX(DANH_MUC!$D$4:$D$1000,MATCH($I292,DANH_MUC!$C$4:$C$1000,0)),""))</f>
        <v/>
      </c>
      <c r="K292" s="21" t="n"/>
      <c r="L292" s="21" t="n"/>
      <c r="M292" s="20" t="n"/>
      <c r="N292" s="23" t="n"/>
      <c r="O292" s="21" t="n"/>
    </row>
    <row r="293">
      <c r="A293" s="19">
        <f>IF($C293="","CHƯA NHẬP",IF($B293="","HỢP LỆ","LỖI"))</f>
        <v/>
      </c>
      <c r="B293" s="19">
        <f>IF($C293="","",TEXTJOIN(" | ",TRUE,IF(COUNTIF('01_HO_SO'!$C$6:$C$505,$C293)=0,"Mã chưa có ở Bước 1",""),IF(COUNTIF($C$6:$C$505,$C293)&gt;1,"Trùng mã trong thông tin công việc",""),IF($D293="","Thiếu trạng thái làm việc",""),IF($E293="","Thiếu ngày vào công ty",IF(OR(NOT(ISNUMBER($E293)),$E293&gt;TODAY()),"Ngày vào công ty không hợp lệ","")),IF($G293="","Thiếu phòng ban",""),IF($I293="","Thiếu chức danh",""),IF(AND($M293&lt;&gt;"",COUNTIF('01_HO_SO'!$C$6:$C$505,$M293)=0),"Mã quản lý không tồn tại",""),IF(AND($M293&lt;&gt;"",$M293=$C293),"Không thể tự quản lý chính mình",""),IF(OR($N293&lt;0,$N293&gt;1000000000),"Lương cơ bản ngoài phạm vi","")))</f>
        <v/>
      </c>
      <c r="C293" s="20" t="n"/>
      <c r="D293" s="21" t="n"/>
      <c r="E293" s="22" t="n"/>
      <c r="F293" s="21" t="n"/>
      <c r="G293" s="21" t="n"/>
      <c r="H293" s="21" t="n"/>
      <c r="I293" s="21" t="n"/>
      <c r="J293" s="19">
        <f>IF($I293="","",IFERROR(INDEX(DANH_MUC!$D$4:$D$1000,MATCH($I293,DANH_MUC!$C$4:$C$1000,0)),""))</f>
        <v/>
      </c>
      <c r="K293" s="21" t="n"/>
      <c r="L293" s="21" t="n"/>
      <c r="M293" s="20" t="n"/>
      <c r="N293" s="23" t="n"/>
      <c r="O293" s="21" t="n"/>
    </row>
    <row r="294">
      <c r="A294" s="19">
        <f>IF($C294="","CHƯA NHẬP",IF($B294="","HỢP LỆ","LỖI"))</f>
        <v/>
      </c>
      <c r="B294" s="19">
        <f>IF($C294="","",TEXTJOIN(" | ",TRUE,IF(COUNTIF('01_HO_SO'!$C$6:$C$505,$C294)=0,"Mã chưa có ở Bước 1",""),IF(COUNTIF($C$6:$C$505,$C294)&gt;1,"Trùng mã trong thông tin công việc",""),IF($D294="","Thiếu trạng thái làm việc",""),IF($E294="","Thiếu ngày vào công ty",IF(OR(NOT(ISNUMBER($E294)),$E294&gt;TODAY()),"Ngày vào công ty không hợp lệ","")),IF($G294="","Thiếu phòng ban",""),IF($I294="","Thiếu chức danh",""),IF(AND($M294&lt;&gt;"",COUNTIF('01_HO_SO'!$C$6:$C$505,$M294)=0),"Mã quản lý không tồn tại",""),IF(AND($M294&lt;&gt;"",$M294=$C294),"Không thể tự quản lý chính mình",""),IF(OR($N294&lt;0,$N294&gt;1000000000),"Lương cơ bản ngoài phạm vi","")))</f>
        <v/>
      </c>
      <c r="C294" s="20" t="n"/>
      <c r="D294" s="21" t="n"/>
      <c r="E294" s="22" t="n"/>
      <c r="F294" s="21" t="n"/>
      <c r="G294" s="21" t="n"/>
      <c r="H294" s="21" t="n"/>
      <c r="I294" s="21" t="n"/>
      <c r="J294" s="19">
        <f>IF($I294="","",IFERROR(INDEX(DANH_MUC!$D$4:$D$1000,MATCH($I294,DANH_MUC!$C$4:$C$1000,0)),""))</f>
        <v/>
      </c>
      <c r="K294" s="21" t="n"/>
      <c r="L294" s="21" t="n"/>
      <c r="M294" s="20" t="n"/>
      <c r="N294" s="23" t="n"/>
      <c r="O294" s="21" t="n"/>
    </row>
    <row r="295">
      <c r="A295" s="19">
        <f>IF($C295="","CHƯA NHẬP",IF($B295="","HỢP LỆ","LỖI"))</f>
        <v/>
      </c>
      <c r="B295" s="19">
        <f>IF($C295="","",TEXTJOIN(" | ",TRUE,IF(COUNTIF('01_HO_SO'!$C$6:$C$505,$C295)=0,"Mã chưa có ở Bước 1",""),IF(COUNTIF($C$6:$C$505,$C295)&gt;1,"Trùng mã trong thông tin công việc",""),IF($D295="","Thiếu trạng thái làm việc",""),IF($E295="","Thiếu ngày vào công ty",IF(OR(NOT(ISNUMBER($E295)),$E295&gt;TODAY()),"Ngày vào công ty không hợp lệ","")),IF($G295="","Thiếu phòng ban",""),IF($I295="","Thiếu chức danh",""),IF(AND($M295&lt;&gt;"",COUNTIF('01_HO_SO'!$C$6:$C$505,$M295)=0),"Mã quản lý không tồn tại",""),IF(AND($M295&lt;&gt;"",$M295=$C295),"Không thể tự quản lý chính mình",""),IF(OR($N295&lt;0,$N295&gt;1000000000),"Lương cơ bản ngoài phạm vi","")))</f>
        <v/>
      </c>
      <c r="C295" s="20" t="n"/>
      <c r="D295" s="21" t="n"/>
      <c r="E295" s="22" t="n"/>
      <c r="F295" s="21" t="n"/>
      <c r="G295" s="21" t="n"/>
      <c r="H295" s="21" t="n"/>
      <c r="I295" s="21" t="n"/>
      <c r="J295" s="19">
        <f>IF($I295="","",IFERROR(INDEX(DANH_MUC!$D$4:$D$1000,MATCH($I295,DANH_MUC!$C$4:$C$1000,0)),""))</f>
        <v/>
      </c>
      <c r="K295" s="21" t="n"/>
      <c r="L295" s="21" t="n"/>
      <c r="M295" s="20" t="n"/>
      <c r="N295" s="23" t="n"/>
      <c r="O295" s="21" t="n"/>
    </row>
    <row r="296">
      <c r="A296" s="19">
        <f>IF($C296="","CHƯA NHẬP",IF($B296="","HỢP LỆ","LỖI"))</f>
        <v/>
      </c>
      <c r="B296" s="19">
        <f>IF($C296="","",TEXTJOIN(" | ",TRUE,IF(COUNTIF('01_HO_SO'!$C$6:$C$505,$C296)=0,"Mã chưa có ở Bước 1",""),IF(COUNTIF($C$6:$C$505,$C296)&gt;1,"Trùng mã trong thông tin công việc",""),IF($D296="","Thiếu trạng thái làm việc",""),IF($E296="","Thiếu ngày vào công ty",IF(OR(NOT(ISNUMBER($E296)),$E296&gt;TODAY()),"Ngày vào công ty không hợp lệ","")),IF($G296="","Thiếu phòng ban",""),IF($I296="","Thiếu chức danh",""),IF(AND($M296&lt;&gt;"",COUNTIF('01_HO_SO'!$C$6:$C$505,$M296)=0),"Mã quản lý không tồn tại",""),IF(AND($M296&lt;&gt;"",$M296=$C296),"Không thể tự quản lý chính mình",""),IF(OR($N296&lt;0,$N296&gt;1000000000),"Lương cơ bản ngoài phạm vi","")))</f>
        <v/>
      </c>
      <c r="C296" s="20" t="n"/>
      <c r="D296" s="21" t="n"/>
      <c r="E296" s="22" t="n"/>
      <c r="F296" s="21" t="n"/>
      <c r="G296" s="21" t="n"/>
      <c r="H296" s="21" t="n"/>
      <c r="I296" s="21" t="n"/>
      <c r="J296" s="19">
        <f>IF($I296="","",IFERROR(INDEX(DANH_MUC!$D$4:$D$1000,MATCH($I296,DANH_MUC!$C$4:$C$1000,0)),""))</f>
        <v/>
      </c>
      <c r="K296" s="21" t="n"/>
      <c r="L296" s="21" t="n"/>
      <c r="M296" s="20" t="n"/>
      <c r="N296" s="23" t="n"/>
      <c r="O296" s="21" t="n"/>
    </row>
    <row r="297">
      <c r="A297" s="19">
        <f>IF($C297="","CHƯA NHẬP",IF($B297="","HỢP LỆ","LỖI"))</f>
        <v/>
      </c>
      <c r="B297" s="19">
        <f>IF($C297="","",TEXTJOIN(" | ",TRUE,IF(COUNTIF('01_HO_SO'!$C$6:$C$505,$C297)=0,"Mã chưa có ở Bước 1",""),IF(COUNTIF($C$6:$C$505,$C297)&gt;1,"Trùng mã trong thông tin công việc",""),IF($D297="","Thiếu trạng thái làm việc",""),IF($E297="","Thiếu ngày vào công ty",IF(OR(NOT(ISNUMBER($E297)),$E297&gt;TODAY()),"Ngày vào công ty không hợp lệ","")),IF($G297="","Thiếu phòng ban",""),IF($I297="","Thiếu chức danh",""),IF(AND($M297&lt;&gt;"",COUNTIF('01_HO_SO'!$C$6:$C$505,$M297)=0),"Mã quản lý không tồn tại",""),IF(AND($M297&lt;&gt;"",$M297=$C297),"Không thể tự quản lý chính mình",""),IF(OR($N297&lt;0,$N297&gt;1000000000),"Lương cơ bản ngoài phạm vi","")))</f>
        <v/>
      </c>
      <c r="C297" s="20" t="n"/>
      <c r="D297" s="21" t="n"/>
      <c r="E297" s="22" t="n"/>
      <c r="F297" s="21" t="n"/>
      <c r="G297" s="21" t="n"/>
      <c r="H297" s="21" t="n"/>
      <c r="I297" s="21" t="n"/>
      <c r="J297" s="19">
        <f>IF($I297="","",IFERROR(INDEX(DANH_MUC!$D$4:$D$1000,MATCH($I297,DANH_MUC!$C$4:$C$1000,0)),""))</f>
        <v/>
      </c>
      <c r="K297" s="21" t="n"/>
      <c r="L297" s="21" t="n"/>
      <c r="M297" s="20" t="n"/>
      <c r="N297" s="23" t="n"/>
      <c r="O297" s="21" t="n"/>
    </row>
    <row r="298">
      <c r="A298" s="19">
        <f>IF($C298="","CHƯA NHẬP",IF($B298="","HỢP LỆ","LỖI"))</f>
        <v/>
      </c>
      <c r="B298" s="19">
        <f>IF($C298="","",TEXTJOIN(" | ",TRUE,IF(COUNTIF('01_HO_SO'!$C$6:$C$505,$C298)=0,"Mã chưa có ở Bước 1",""),IF(COUNTIF($C$6:$C$505,$C298)&gt;1,"Trùng mã trong thông tin công việc",""),IF($D298="","Thiếu trạng thái làm việc",""),IF($E298="","Thiếu ngày vào công ty",IF(OR(NOT(ISNUMBER($E298)),$E298&gt;TODAY()),"Ngày vào công ty không hợp lệ","")),IF($G298="","Thiếu phòng ban",""),IF($I298="","Thiếu chức danh",""),IF(AND($M298&lt;&gt;"",COUNTIF('01_HO_SO'!$C$6:$C$505,$M298)=0),"Mã quản lý không tồn tại",""),IF(AND($M298&lt;&gt;"",$M298=$C298),"Không thể tự quản lý chính mình",""),IF(OR($N298&lt;0,$N298&gt;1000000000),"Lương cơ bản ngoài phạm vi","")))</f>
        <v/>
      </c>
      <c r="C298" s="20" t="n"/>
      <c r="D298" s="21" t="n"/>
      <c r="E298" s="22" t="n"/>
      <c r="F298" s="21" t="n"/>
      <c r="G298" s="21" t="n"/>
      <c r="H298" s="21" t="n"/>
      <c r="I298" s="21" t="n"/>
      <c r="J298" s="19">
        <f>IF($I298="","",IFERROR(INDEX(DANH_MUC!$D$4:$D$1000,MATCH($I298,DANH_MUC!$C$4:$C$1000,0)),""))</f>
        <v/>
      </c>
      <c r="K298" s="21" t="n"/>
      <c r="L298" s="21" t="n"/>
      <c r="M298" s="20" t="n"/>
      <c r="N298" s="23" t="n"/>
      <c r="O298" s="21" t="n"/>
    </row>
    <row r="299">
      <c r="A299" s="19">
        <f>IF($C299="","CHƯA NHẬP",IF($B299="","HỢP LỆ","LỖI"))</f>
        <v/>
      </c>
      <c r="B299" s="19">
        <f>IF($C299="","",TEXTJOIN(" | ",TRUE,IF(COUNTIF('01_HO_SO'!$C$6:$C$505,$C299)=0,"Mã chưa có ở Bước 1",""),IF(COUNTIF($C$6:$C$505,$C299)&gt;1,"Trùng mã trong thông tin công việc",""),IF($D299="","Thiếu trạng thái làm việc",""),IF($E299="","Thiếu ngày vào công ty",IF(OR(NOT(ISNUMBER($E299)),$E299&gt;TODAY()),"Ngày vào công ty không hợp lệ","")),IF($G299="","Thiếu phòng ban",""),IF($I299="","Thiếu chức danh",""),IF(AND($M299&lt;&gt;"",COUNTIF('01_HO_SO'!$C$6:$C$505,$M299)=0),"Mã quản lý không tồn tại",""),IF(AND($M299&lt;&gt;"",$M299=$C299),"Không thể tự quản lý chính mình",""),IF(OR($N299&lt;0,$N299&gt;1000000000),"Lương cơ bản ngoài phạm vi","")))</f>
        <v/>
      </c>
      <c r="C299" s="20" t="n"/>
      <c r="D299" s="21" t="n"/>
      <c r="E299" s="22" t="n"/>
      <c r="F299" s="21" t="n"/>
      <c r="G299" s="21" t="n"/>
      <c r="H299" s="21" t="n"/>
      <c r="I299" s="21" t="n"/>
      <c r="J299" s="19">
        <f>IF($I299="","",IFERROR(INDEX(DANH_MUC!$D$4:$D$1000,MATCH($I299,DANH_MUC!$C$4:$C$1000,0)),""))</f>
        <v/>
      </c>
      <c r="K299" s="21" t="n"/>
      <c r="L299" s="21" t="n"/>
      <c r="M299" s="20" t="n"/>
      <c r="N299" s="23" t="n"/>
      <c r="O299" s="21" t="n"/>
    </row>
    <row r="300">
      <c r="A300" s="19">
        <f>IF($C300="","CHƯA NHẬP",IF($B300="","HỢP LỆ","LỖI"))</f>
        <v/>
      </c>
      <c r="B300" s="19">
        <f>IF($C300="","",TEXTJOIN(" | ",TRUE,IF(COUNTIF('01_HO_SO'!$C$6:$C$505,$C300)=0,"Mã chưa có ở Bước 1",""),IF(COUNTIF($C$6:$C$505,$C300)&gt;1,"Trùng mã trong thông tin công việc",""),IF($D300="","Thiếu trạng thái làm việc",""),IF($E300="","Thiếu ngày vào công ty",IF(OR(NOT(ISNUMBER($E300)),$E300&gt;TODAY()),"Ngày vào công ty không hợp lệ","")),IF($G300="","Thiếu phòng ban",""),IF($I300="","Thiếu chức danh",""),IF(AND($M300&lt;&gt;"",COUNTIF('01_HO_SO'!$C$6:$C$505,$M300)=0),"Mã quản lý không tồn tại",""),IF(AND($M300&lt;&gt;"",$M300=$C300),"Không thể tự quản lý chính mình",""),IF(OR($N300&lt;0,$N300&gt;1000000000),"Lương cơ bản ngoài phạm vi","")))</f>
        <v/>
      </c>
      <c r="C300" s="20" t="n"/>
      <c r="D300" s="21" t="n"/>
      <c r="E300" s="22" t="n"/>
      <c r="F300" s="21" t="n"/>
      <c r="G300" s="21" t="n"/>
      <c r="H300" s="21" t="n"/>
      <c r="I300" s="21" t="n"/>
      <c r="J300" s="19">
        <f>IF($I300="","",IFERROR(INDEX(DANH_MUC!$D$4:$D$1000,MATCH($I300,DANH_MUC!$C$4:$C$1000,0)),""))</f>
        <v/>
      </c>
      <c r="K300" s="21" t="n"/>
      <c r="L300" s="21" t="n"/>
      <c r="M300" s="20" t="n"/>
      <c r="N300" s="23" t="n"/>
      <c r="O300" s="21" t="n"/>
    </row>
    <row r="301">
      <c r="A301" s="19">
        <f>IF($C301="","CHƯA NHẬP",IF($B301="","HỢP LỆ","LỖI"))</f>
        <v/>
      </c>
      <c r="B301" s="19">
        <f>IF($C301="","",TEXTJOIN(" | ",TRUE,IF(COUNTIF('01_HO_SO'!$C$6:$C$505,$C301)=0,"Mã chưa có ở Bước 1",""),IF(COUNTIF($C$6:$C$505,$C301)&gt;1,"Trùng mã trong thông tin công việc",""),IF($D301="","Thiếu trạng thái làm việc",""),IF($E301="","Thiếu ngày vào công ty",IF(OR(NOT(ISNUMBER($E301)),$E301&gt;TODAY()),"Ngày vào công ty không hợp lệ","")),IF($G301="","Thiếu phòng ban",""),IF($I301="","Thiếu chức danh",""),IF(AND($M301&lt;&gt;"",COUNTIF('01_HO_SO'!$C$6:$C$505,$M301)=0),"Mã quản lý không tồn tại",""),IF(AND($M301&lt;&gt;"",$M301=$C301),"Không thể tự quản lý chính mình",""),IF(OR($N301&lt;0,$N301&gt;1000000000),"Lương cơ bản ngoài phạm vi","")))</f>
        <v/>
      </c>
      <c r="C301" s="20" t="n"/>
      <c r="D301" s="21" t="n"/>
      <c r="E301" s="22" t="n"/>
      <c r="F301" s="21" t="n"/>
      <c r="G301" s="21" t="n"/>
      <c r="H301" s="21" t="n"/>
      <c r="I301" s="21" t="n"/>
      <c r="J301" s="19">
        <f>IF($I301="","",IFERROR(INDEX(DANH_MUC!$D$4:$D$1000,MATCH($I301,DANH_MUC!$C$4:$C$1000,0)),""))</f>
        <v/>
      </c>
      <c r="K301" s="21" t="n"/>
      <c r="L301" s="21" t="n"/>
      <c r="M301" s="20" t="n"/>
      <c r="N301" s="23" t="n"/>
      <c r="O301" s="21" t="n"/>
    </row>
    <row r="302">
      <c r="A302" s="19">
        <f>IF($C302="","CHƯA NHẬP",IF($B302="","HỢP LỆ","LỖI"))</f>
        <v/>
      </c>
      <c r="B302" s="19">
        <f>IF($C302="","",TEXTJOIN(" | ",TRUE,IF(COUNTIF('01_HO_SO'!$C$6:$C$505,$C302)=0,"Mã chưa có ở Bước 1",""),IF(COUNTIF($C$6:$C$505,$C302)&gt;1,"Trùng mã trong thông tin công việc",""),IF($D302="","Thiếu trạng thái làm việc",""),IF($E302="","Thiếu ngày vào công ty",IF(OR(NOT(ISNUMBER($E302)),$E302&gt;TODAY()),"Ngày vào công ty không hợp lệ","")),IF($G302="","Thiếu phòng ban",""),IF($I302="","Thiếu chức danh",""),IF(AND($M302&lt;&gt;"",COUNTIF('01_HO_SO'!$C$6:$C$505,$M302)=0),"Mã quản lý không tồn tại",""),IF(AND($M302&lt;&gt;"",$M302=$C302),"Không thể tự quản lý chính mình",""),IF(OR($N302&lt;0,$N302&gt;1000000000),"Lương cơ bản ngoài phạm vi","")))</f>
        <v/>
      </c>
      <c r="C302" s="20" t="n"/>
      <c r="D302" s="21" t="n"/>
      <c r="E302" s="22" t="n"/>
      <c r="F302" s="21" t="n"/>
      <c r="G302" s="21" t="n"/>
      <c r="H302" s="21" t="n"/>
      <c r="I302" s="21" t="n"/>
      <c r="J302" s="19">
        <f>IF($I302="","",IFERROR(INDEX(DANH_MUC!$D$4:$D$1000,MATCH($I302,DANH_MUC!$C$4:$C$1000,0)),""))</f>
        <v/>
      </c>
      <c r="K302" s="21" t="n"/>
      <c r="L302" s="21" t="n"/>
      <c r="M302" s="20" t="n"/>
      <c r="N302" s="23" t="n"/>
      <c r="O302" s="21" t="n"/>
    </row>
    <row r="303">
      <c r="A303" s="19">
        <f>IF($C303="","CHƯA NHẬP",IF($B303="","HỢP LỆ","LỖI"))</f>
        <v/>
      </c>
      <c r="B303" s="19">
        <f>IF($C303="","",TEXTJOIN(" | ",TRUE,IF(COUNTIF('01_HO_SO'!$C$6:$C$505,$C303)=0,"Mã chưa có ở Bước 1",""),IF(COUNTIF($C$6:$C$505,$C303)&gt;1,"Trùng mã trong thông tin công việc",""),IF($D303="","Thiếu trạng thái làm việc",""),IF($E303="","Thiếu ngày vào công ty",IF(OR(NOT(ISNUMBER($E303)),$E303&gt;TODAY()),"Ngày vào công ty không hợp lệ","")),IF($G303="","Thiếu phòng ban",""),IF($I303="","Thiếu chức danh",""),IF(AND($M303&lt;&gt;"",COUNTIF('01_HO_SO'!$C$6:$C$505,$M303)=0),"Mã quản lý không tồn tại",""),IF(AND($M303&lt;&gt;"",$M303=$C303),"Không thể tự quản lý chính mình",""),IF(OR($N303&lt;0,$N303&gt;1000000000),"Lương cơ bản ngoài phạm vi","")))</f>
        <v/>
      </c>
      <c r="C303" s="20" t="n"/>
      <c r="D303" s="21" t="n"/>
      <c r="E303" s="22" t="n"/>
      <c r="F303" s="21" t="n"/>
      <c r="G303" s="21" t="n"/>
      <c r="H303" s="21" t="n"/>
      <c r="I303" s="21" t="n"/>
      <c r="J303" s="19">
        <f>IF($I303="","",IFERROR(INDEX(DANH_MUC!$D$4:$D$1000,MATCH($I303,DANH_MUC!$C$4:$C$1000,0)),""))</f>
        <v/>
      </c>
      <c r="K303" s="21" t="n"/>
      <c r="L303" s="21" t="n"/>
      <c r="M303" s="20" t="n"/>
      <c r="N303" s="23" t="n"/>
      <c r="O303" s="21" t="n"/>
    </row>
    <row r="304">
      <c r="A304" s="19">
        <f>IF($C304="","CHƯA NHẬP",IF($B304="","HỢP LỆ","LỖI"))</f>
        <v/>
      </c>
      <c r="B304" s="19">
        <f>IF($C304="","",TEXTJOIN(" | ",TRUE,IF(COUNTIF('01_HO_SO'!$C$6:$C$505,$C304)=0,"Mã chưa có ở Bước 1",""),IF(COUNTIF($C$6:$C$505,$C304)&gt;1,"Trùng mã trong thông tin công việc",""),IF($D304="","Thiếu trạng thái làm việc",""),IF($E304="","Thiếu ngày vào công ty",IF(OR(NOT(ISNUMBER($E304)),$E304&gt;TODAY()),"Ngày vào công ty không hợp lệ","")),IF($G304="","Thiếu phòng ban",""),IF($I304="","Thiếu chức danh",""),IF(AND($M304&lt;&gt;"",COUNTIF('01_HO_SO'!$C$6:$C$505,$M304)=0),"Mã quản lý không tồn tại",""),IF(AND($M304&lt;&gt;"",$M304=$C304),"Không thể tự quản lý chính mình",""),IF(OR($N304&lt;0,$N304&gt;1000000000),"Lương cơ bản ngoài phạm vi","")))</f>
        <v/>
      </c>
      <c r="C304" s="20" t="n"/>
      <c r="D304" s="21" t="n"/>
      <c r="E304" s="22" t="n"/>
      <c r="F304" s="21" t="n"/>
      <c r="G304" s="21" t="n"/>
      <c r="H304" s="21" t="n"/>
      <c r="I304" s="21" t="n"/>
      <c r="J304" s="19">
        <f>IF($I304="","",IFERROR(INDEX(DANH_MUC!$D$4:$D$1000,MATCH($I304,DANH_MUC!$C$4:$C$1000,0)),""))</f>
        <v/>
      </c>
      <c r="K304" s="21" t="n"/>
      <c r="L304" s="21" t="n"/>
      <c r="M304" s="20" t="n"/>
      <c r="N304" s="23" t="n"/>
      <c r="O304" s="21" t="n"/>
    </row>
    <row r="305">
      <c r="A305" s="19">
        <f>IF($C305="","CHƯA NHẬP",IF($B305="","HỢP LỆ","LỖI"))</f>
        <v/>
      </c>
      <c r="B305" s="19">
        <f>IF($C305="","",TEXTJOIN(" | ",TRUE,IF(COUNTIF('01_HO_SO'!$C$6:$C$505,$C305)=0,"Mã chưa có ở Bước 1",""),IF(COUNTIF($C$6:$C$505,$C305)&gt;1,"Trùng mã trong thông tin công việc",""),IF($D305="","Thiếu trạng thái làm việc",""),IF($E305="","Thiếu ngày vào công ty",IF(OR(NOT(ISNUMBER($E305)),$E305&gt;TODAY()),"Ngày vào công ty không hợp lệ","")),IF($G305="","Thiếu phòng ban",""),IF($I305="","Thiếu chức danh",""),IF(AND($M305&lt;&gt;"",COUNTIF('01_HO_SO'!$C$6:$C$505,$M305)=0),"Mã quản lý không tồn tại",""),IF(AND($M305&lt;&gt;"",$M305=$C305),"Không thể tự quản lý chính mình",""),IF(OR($N305&lt;0,$N305&gt;1000000000),"Lương cơ bản ngoài phạm vi","")))</f>
        <v/>
      </c>
      <c r="C305" s="20" t="n"/>
      <c r="D305" s="21" t="n"/>
      <c r="E305" s="22" t="n"/>
      <c r="F305" s="21" t="n"/>
      <c r="G305" s="21" t="n"/>
      <c r="H305" s="21" t="n"/>
      <c r="I305" s="21" t="n"/>
      <c r="J305" s="19">
        <f>IF($I305="","",IFERROR(INDEX(DANH_MUC!$D$4:$D$1000,MATCH($I305,DANH_MUC!$C$4:$C$1000,0)),""))</f>
        <v/>
      </c>
      <c r="K305" s="21" t="n"/>
      <c r="L305" s="21" t="n"/>
      <c r="M305" s="20" t="n"/>
      <c r="N305" s="23" t="n"/>
      <c r="O305" s="21" t="n"/>
    </row>
    <row r="306">
      <c r="A306" s="19">
        <f>IF($C306="","CHƯA NHẬP",IF($B306="","HỢP LỆ","LỖI"))</f>
        <v/>
      </c>
      <c r="B306" s="19">
        <f>IF($C306="","",TEXTJOIN(" | ",TRUE,IF(COUNTIF('01_HO_SO'!$C$6:$C$505,$C306)=0,"Mã chưa có ở Bước 1",""),IF(COUNTIF($C$6:$C$505,$C306)&gt;1,"Trùng mã trong thông tin công việc",""),IF($D306="","Thiếu trạng thái làm việc",""),IF($E306="","Thiếu ngày vào công ty",IF(OR(NOT(ISNUMBER($E306)),$E306&gt;TODAY()),"Ngày vào công ty không hợp lệ","")),IF($G306="","Thiếu phòng ban",""),IF($I306="","Thiếu chức danh",""),IF(AND($M306&lt;&gt;"",COUNTIF('01_HO_SO'!$C$6:$C$505,$M306)=0),"Mã quản lý không tồn tại",""),IF(AND($M306&lt;&gt;"",$M306=$C306),"Không thể tự quản lý chính mình",""),IF(OR($N306&lt;0,$N306&gt;1000000000),"Lương cơ bản ngoài phạm vi","")))</f>
        <v/>
      </c>
      <c r="C306" s="20" t="n"/>
      <c r="D306" s="21" t="n"/>
      <c r="E306" s="22" t="n"/>
      <c r="F306" s="21" t="n"/>
      <c r="G306" s="21" t="n"/>
      <c r="H306" s="21" t="n"/>
      <c r="I306" s="21" t="n"/>
      <c r="J306" s="19">
        <f>IF($I306="","",IFERROR(INDEX(DANH_MUC!$D$4:$D$1000,MATCH($I306,DANH_MUC!$C$4:$C$1000,0)),""))</f>
        <v/>
      </c>
      <c r="K306" s="21" t="n"/>
      <c r="L306" s="21" t="n"/>
      <c r="M306" s="20" t="n"/>
      <c r="N306" s="23" t="n"/>
      <c r="O306" s="21" t="n"/>
    </row>
    <row r="307">
      <c r="A307" s="19">
        <f>IF($C307="","CHƯA NHẬP",IF($B307="","HỢP LỆ","LỖI"))</f>
        <v/>
      </c>
      <c r="B307" s="19">
        <f>IF($C307="","",TEXTJOIN(" | ",TRUE,IF(COUNTIF('01_HO_SO'!$C$6:$C$505,$C307)=0,"Mã chưa có ở Bước 1",""),IF(COUNTIF($C$6:$C$505,$C307)&gt;1,"Trùng mã trong thông tin công việc",""),IF($D307="","Thiếu trạng thái làm việc",""),IF($E307="","Thiếu ngày vào công ty",IF(OR(NOT(ISNUMBER($E307)),$E307&gt;TODAY()),"Ngày vào công ty không hợp lệ","")),IF($G307="","Thiếu phòng ban",""),IF($I307="","Thiếu chức danh",""),IF(AND($M307&lt;&gt;"",COUNTIF('01_HO_SO'!$C$6:$C$505,$M307)=0),"Mã quản lý không tồn tại",""),IF(AND($M307&lt;&gt;"",$M307=$C307),"Không thể tự quản lý chính mình",""),IF(OR($N307&lt;0,$N307&gt;1000000000),"Lương cơ bản ngoài phạm vi","")))</f>
        <v/>
      </c>
      <c r="C307" s="20" t="n"/>
      <c r="D307" s="21" t="n"/>
      <c r="E307" s="22" t="n"/>
      <c r="F307" s="21" t="n"/>
      <c r="G307" s="21" t="n"/>
      <c r="H307" s="21" t="n"/>
      <c r="I307" s="21" t="n"/>
      <c r="J307" s="19">
        <f>IF($I307="","",IFERROR(INDEX(DANH_MUC!$D$4:$D$1000,MATCH($I307,DANH_MUC!$C$4:$C$1000,0)),""))</f>
        <v/>
      </c>
      <c r="K307" s="21" t="n"/>
      <c r="L307" s="21" t="n"/>
      <c r="M307" s="20" t="n"/>
      <c r="N307" s="23" t="n"/>
      <c r="O307" s="21" t="n"/>
    </row>
    <row r="308">
      <c r="A308" s="19">
        <f>IF($C308="","CHƯA NHẬP",IF($B308="","HỢP LỆ","LỖI"))</f>
        <v/>
      </c>
      <c r="B308" s="19">
        <f>IF($C308="","",TEXTJOIN(" | ",TRUE,IF(COUNTIF('01_HO_SO'!$C$6:$C$505,$C308)=0,"Mã chưa có ở Bước 1",""),IF(COUNTIF($C$6:$C$505,$C308)&gt;1,"Trùng mã trong thông tin công việc",""),IF($D308="","Thiếu trạng thái làm việc",""),IF($E308="","Thiếu ngày vào công ty",IF(OR(NOT(ISNUMBER($E308)),$E308&gt;TODAY()),"Ngày vào công ty không hợp lệ","")),IF($G308="","Thiếu phòng ban",""),IF($I308="","Thiếu chức danh",""),IF(AND($M308&lt;&gt;"",COUNTIF('01_HO_SO'!$C$6:$C$505,$M308)=0),"Mã quản lý không tồn tại",""),IF(AND($M308&lt;&gt;"",$M308=$C308),"Không thể tự quản lý chính mình",""),IF(OR($N308&lt;0,$N308&gt;1000000000),"Lương cơ bản ngoài phạm vi","")))</f>
        <v/>
      </c>
      <c r="C308" s="20" t="n"/>
      <c r="D308" s="21" t="n"/>
      <c r="E308" s="22" t="n"/>
      <c r="F308" s="21" t="n"/>
      <c r="G308" s="21" t="n"/>
      <c r="H308" s="21" t="n"/>
      <c r="I308" s="21" t="n"/>
      <c r="J308" s="19">
        <f>IF($I308="","",IFERROR(INDEX(DANH_MUC!$D$4:$D$1000,MATCH($I308,DANH_MUC!$C$4:$C$1000,0)),""))</f>
        <v/>
      </c>
      <c r="K308" s="21" t="n"/>
      <c r="L308" s="21" t="n"/>
      <c r="M308" s="20" t="n"/>
      <c r="N308" s="23" t="n"/>
      <c r="O308" s="21" t="n"/>
    </row>
    <row r="309">
      <c r="A309" s="19">
        <f>IF($C309="","CHƯA NHẬP",IF($B309="","HỢP LỆ","LỖI"))</f>
        <v/>
      </c>
      <c r="B309" s="19">
        <f>IF($C309="","",TEXTJOIN(" | ",TRUE,IF(COUNTIF('01_HO_SO'!$C$6:$C$505,$C309)=0,"Mã chưa có ở Bước 1",""),IF(COUNTIF($C$6:$C$505,$C309)&gt;1,"Trùng mã trong thông tin công việc",""),IF($D309="","Thiếu trạng thái làm việc",""),IF($E309="","Thiếu ngày vào công ty",IF(OR(NOT(ISNUMBER($E309)),$E309&gt;TODAY()),"Ngày vào công ty không hợp lệ","")),IF($G309="","Thiếu phòng ban",""),IF($I309="","Thiếu chức danh",""),IF(AND($M309&lt;&gt;"",COUNTIF('01_HO_SO'!$C$6:$C$505,$M309)=0),"Mã quản lý không tồn tại",""),IF(AND($M309&lt;&gt;"",$M309=$C309),"Không thể tự quản lý chính mình",""),IF(OR($N309&lt;0,$N309&gt;1000000000),"Lương cơ bản ngoài phạm vi","")))</f>
        <v/>
      </c>
      <c r="C309" s="20" t="n"/>
      <c r="D309" s="21" t="n"/>
      <c r="E309" s="22" t="n"/>
      <c r="F309" s="21" t="n"/>
      <c r="G309" s="21" t="n"/>
      <c r="H309" s="21" t="n"/>
      <c r="I309" s="21" t="n"/>
      <c r="J309" s="19">
        <f>IF($I309="","",IFERROR(INDEX(DANH_MUC!$D$4:$D$1000,MATCH($I309,DANH_MUC!$C$4:$C$1000,0)),""))</f>
        <v/>
      </c>
      <c r="K309" s="21" t="n"/>
      <c r="L309" s="21" t="n"/>
      <c r="M309" s="20" t="n"/>
      <c r="N309" s="23" t="n"/>
      <c r="O309" s="21" t="n"/>
    </row>
    <row r="310">
      <c r="A310" s="19">
        <f>IF($C310="","CHƯA NHẬP",IF($B310="","HỢP LỆ","LỖI"))</f>
        <v/>
      </c>
      <c r="B310" s="19">
        <f>IF($C310="","",TEXTJOIN(" | ",TRUE,IF(COUNTIF('01_HO_SO'!$C$6:$C$505,$C310)=0,"Mã chưa có ở Bước 1",""),IF(COUNTIF($C$6:$C$505,$C310)&gt;1,"Trùng mã trong thông tin công việc",""),IF($D310="","Thiếu trạng thái làm việc",""),IF($E310="","Thiếu ngày vào công ty",IF(OR(NOT(ISNUMBER($E310)),$E310&gt;TODAY()),"Ngày vào công ty không hợp lệ","")),IF($G310="","Thiếu phòng ban",""),IF($I310="","Thiếu chức danh",""),IF(AND($M310&lt;&gt;"",COUNTIF('01_HO_SO'!$C$6:$C$505,$M310)=0),"Mã quản lý không tồn tại",""),IF(AND($M310&lt;&gt;"",$M310=$C310),"Không thể tự quản lý chính mình",""),IF(OR($N310&lt;0,$N310&gt;1000000000),"Lương cơ bản ngoài phạm vi","")))</f>
        <v/>
      </c>
      <c r="C310" s="20" t="n"/>
      <c r="D310" s="21" t="n"/>
      <c r="E310" s="22" t="n"/>
      <c r="F310" s="21" t="n"/>
      <c r="G310" s="21" t="n"/>
      <c r="H310" s="21" t="n"/>
      <c r="I310" s="21" t="n"/>
      <c r="J310" s="19">
        <f>IF($I310="","",IFERROR(INDEX(DANH_MUC!$D$4:$D$1000,MATCH($I310,DANH_MUC!$C$4:$C$1000,0)),""))</f>
        <v/>
      </c>
      <c r="K310" s="21" t="n"/>
      <c r="L310" s="21" t="n"/>
      <c r="M310" s="20" t="n"/>
      <c r="N310" s="23" t="n"/>
      <c r="O310" s="21" t="n"/>
    </row>
    <row r="311">
      <c r="A311" s="19">
        <f>IF($C311="","CHƯA NHẬP",IF($B311="","HỢP LỆ","LỖI"))</f>
        <v/>
      </c>
      <c r="B311" s="19">
        <f>IF($C311="","",TEXTJOIN(" | ",TRUE,IF(COUNTIF('01_HO_SO'!$C$6:$C$505,$C311)=0,"Mã chưa có ở Bước 1",""),IF(COUNTIF($C$6:$C$505,$C311)&gt;1,"Trùng mã trong thông tin công việc",""),IF($D311="","Thiếu trạng thái làm việc",""),IF($E311="","Thiếu ngày vào công ty",IF(OR(NOT(ISNUMBER($E311)),$E311&gt;TODAY()),"Ngày vào công ty không hợp lệ","")),IF($G311="","Thiếu phòng ban",""),IF($I311="","Thiếu chức danh",""),IF(AND($M311&lt;&gt;"",COUNTIF('01_HO_SO'!$C$6:$C$505,$M311)=0),"Mã quản lý không tồn tại",""),IF(AND($M311&lt;&gt;"",$M311=$C311),"Không thể tự quản lý chính mình",""),IF(OR($N311&lt;0,$N311&gt;1000000000),"Lương cơ bản ngoài phạm vi","")))</f>
        <v/>
      </c>
      <c r="C311" s="20" t="n"/>
      <c r="D311" s="21" t="n"/>
      <c r="E311" s="22" t="n"/>
      <c r="F311" s="21" t="n"/>
      <c r="G311" s="21" t="n"/>
      <c r="H311" s="21" t="n"/>
      <c r="I311" s="21" t="n"/>
      <c r="J311" s="19">
        <f>IF($I311="","",IFERROR(INDEX(DANH_MUC!$D$4:$D$1000,MATCH($I311,DANH_MUC!$C$4:$C$1000,0)),""))</f>
        <v/>
      </c>
      <c r="K311" s="21" t="n"/>
      <c r="L311" s="21" t="n"/>
      <c r="M311" s="20" t="n"/>
      <c r="N311" s="23" t="n"/>
      <c r="O311" s="21" t="n"/>
    </row>
    <row r="312">
      <c r="A312" s="19">
        <f>IF($C312="","CHƯA NHẬP",IF($B312="","HỢP LỆ","LỖI"))</f>
        <v/>
      </c>
      <c r="B312" s="19">
        <f>IF($C312="","",TEXTJOIN(" | ",TRUE,IF(COUNTIF('01_HO_SO'!$C$6:$C$505,$C312)=0,"Mã chưa có ở Bước 1",""),IF(COUNTIF($C$6:$C$505,$C312)&gt;1,"Trùng mã trong thông tin công việc",""),IF($D312="","Thiếu trạng thái làm việc",""),IF($E312="","Thiếu ngày vào công ty",IF(OR(NOT(ISNUMBER($E312)),$E312&gt;TODAY()),"Ngày vào công ty không hợp lệ","")),IF($G312="","Thiếu phòng ban",""),IF($I312="","Thiếu chức danh",""),IF(AND($M312&lt;&gt;"",COUNTIF('01_HO_SO'!$C$6:$C$505,$M312)=0),"Mã quản lý không tồn tại",""),IF(AND($M312&lt;&gt;"",$M312=$C312),"Không thể tự quản lý chính mình",""),IF(OR($N312&lt;0,$N312&gt;1000000000),"Lương cơ bản ngoài phạm vi","")))</f>
        <v/>
      </c>
      <c r="C312" s="20" t="n"/>
      <c r="D312" s="21" t="n"/>
      <c r="E312" s="22" t="n"/>
      <c r="F312" s="21" t="n"/>
      <c r="G312" s="21" t="n"/>
      <c r="H312" s="21" t="n"/>
      <c r="I312" s="21" t="n"/>
      <c r="J312" s="19">
        <f>IF($I312="","",IFERROR(INDEX(DANH_MUC!$D$4:$D$1000,MATCH($I312,DANH_MUC!$C$4:$C$1000,0)),""))</f>
        <v/>
      </c>
      <c r="K312" s="21" t="n"/>
      <c r="L312" s="21" t="n"/>
      <c r="M312" s="20" t="n"/>
      <c r="N312" s="23" t="n"/>
      <c r="O312" s="21" t="n"/>
    </row>
    <row r="313">
      <c r="A313" s="19">
        <f>IF($C313="","CHƯA NHẬP",IF($B313="","HỢP LỆ","LỖI"))</f>
        <v/>
      </c>
      <c r="B313" s="19">
        <f>IF($C313="","",TEXTJOIN(" | ",TRUE,IF(COUNTIF('01_HO_SO'!$C$6:$C$505,$C313)=0,"Mã chưa có ở Bước 1",""),IF(COUNTIF($C$6:$C$505,$C313)&gt;1,"Trùng mã trong thông tin công việc",""),IF($D313="","Thiếu trạng thái làm việc",""),IF($E313="","Thiếu ngày vào công ty",IF(OR(NOT(ISNUMBER($E313)),$E313&gt;TODAY()),"Ngày vào công ty không hợp lệ","")),IF($G313="","Thiếu phòng ban",""),IF($I313="","Thiếu chức danh",""),IF(AND($M313&lt;&gt;"",COUNTIF('01_HO_SO'!$C$6:$C$505,$M313)=0),"Mã quản lý không tồn tại",""),IF(AND($M313&lt;&gt;"",$M313=$C313),"Không thể tự quản lý chính mình",""),IF(OR($N313&lt;0,$N313&gt;1000000000),"Lương cơ bản ngoài phạm vi","")))</f>
        <v/>
      </c>
      <c r="C313" s="20" t="n"/>
      <c r="D313" s="21" t="n"/>
      <c r="E313" s="22" t="n"/>
      <c r="F313" s="21" t="n"/>
      <c r="G313" s="21" t="n"/>
      <c r="H313" s="21" t="n"/>
      <c r="I313" s="21" t="n"/>
      <c r="J313" s="19">
        <f>IF($I313="","",IFERROR(INDEX(DANH_MUC!$D$4:$D$1000,MATCH($I313,DANH_MUC!$C$4:$C$1000,0)),""))</f>
        <v/>
      </c>
      <c r="K313" s="21" t="n"/>
      <c r="L313" s="21" t="n"/>
      <c r="M313" s="20" t="n"/>
      <c r="N313" s="23" t="n"/>
      <c r="O313" s="21" t="n"/>
    </row>
    <row r="314">
      <c r="A314" s="19">
        <f>IF($C314="","CHƯA NHẬP",IF($B314="","HỢP LỆ","LỖI"))</f>
        <v/>
      </c>
      <c r="B314" s="19">
        <f>IF($C314="","",TEXTJOIN(" | ",TRUE,IF(COUNTIF('01_HO_SO'!$C$6:$C$505,$C314)=0,"Mã chưa có ở Bước 1",""),IF(COUNTIF($C$6:$C$505,$C314)&gt;1,"Trùng mã trong thông tin công việc",""),IF($D314="","Thiếu trạng thái làm việc",""),IF($E314="","Thiếu ngày vào công ty",IF(OR(NOT(ISNUMBER($E314)),$E314&gt;TODAY()),"Ngày vào công ty không hợp lệ","")),IF($G314="","Thiếu phòng ban",""),IF($I314="","Thiếu chức danh",""),IF(AND($M314&lt;&gt;"",COUNTIF('01_HO_SO'!$C$6:$C$505,$M314)=0),"Mã quản lý không tồn tại",""),IF(AND($M314&lt;&gt;"",$M314=$C314),"Không thể tự quản lý chính mình",""),IF(OR($N314&lt;0,$N314&gt;1000000000),"Lương cơ bản ngoài phạm vi","")))</f>
        <v/>
      </c>
      <c r="C314" s="20" t="n"/>
      <c r="D314" s="21" t="n"/>
      <c r="E314" s="22" t="n"/>
      <c r="F314" s="21" t="n"/>
      <c r="G314" s="21" t="n"/>
      <c r="H314" s="21" t="n"/>
      <c r="I314" s="21" t="n"/>
      <c r="J314" s="19">
        <f>IF($I314="","",IFERROR(INDEX(DANH_MUC!$D$4:$D$1000,MATCH($I314,DANH_MUC!$C$4:$C$1000,0)),""))</f>
        <v/>
      </c>
      <c r="K314" s="21" t="n"/>
      <c r="L314" s="21" t="n"/>
      <c r="M314" s="20" t="n"/>
      <c r="N314" s="23" t="n"/>
      <c r="O314" s="21" t="n"/>
    </row>
    <row r="315">
      <c r="A315" s="19">
        <f>IF($C315="","CHƯA NHẬP",IF($B315="","HỢP LỆ","LỖI"))</f>
        <v/>
      </c>
      <c r="B315" s="19">
        <f>IF($C315="","",TEXTJOIN(" | ",TRUE,IF(COUNTIF('01_HO_SO'!$C$6:$C$505,$C315)=0,"Mã chưa có ở Bước 1",""),IF(COUNTIF($C$6:$C$505,$C315)&gt;1,"Trùng mã trong thông tin công việc",""),IF($D315="","Thiếu trạng thái làm việc",""),IF($E315="","Thiếu ngày vào công ty",IF(OR(NOT(ISNUMBER($E315)),$E315&gt;TODAY()),"Ngày vào công ty không hợp lệ","")),IF($G315="","Thiếu phòng ban",""),IF($I315="","Thiếu chức danh",""),IF(AND($M315&lt;&gt;"",COUNTIF('01_HO_SO'!$C$6:$C$505,$M315)=0),"Mã quản lý không tồn tại",""),IF(AND($M315&lt;&gt;"",$M315=$C315),"Không thể tự quản lý chính mình",""),IF(OR($N315&lt;0,$N315&gt;1000000000),"Lương cơ bản ngoài phạm vi","")))</f>
        <v/>
      </c>
      <c r="C315" s="20" t="n"/>
      <c r="D315" s="21" t="n"/>
      <c r="E315" s="22" t="n"/>
      <c r="F315" s="21" t="n"/>
      <c r="G315" s="21" t="n"/>
      <c r="H315" s="21" t="n"/>
      <c r="I315" s="21" t="n"/>
      <c r="J315" s="19">
        <f>IF($I315="","",IFERROR(INDEX(DANH_MUC!$D$4:$D$1000,MATCH($I315,DANH_MUC!$C$4:$C$1000,0)),""))</f>
        <v/>
      </c>
      <c r="K315" s="21" t="n"/>
      <c r="L315" s="21" t="n"/>
      <c r="M315" s="20" t="n"/>
      <c r="N315" s="23" t="n"/>
      <c r="O315" s="21" t="n"/>
    </row>
    <row r="316">
      <c r="A316" s="19">
        <f>IF($C316="","CHƯA NHẬP",IF($B316="","HỢP LỆ","LỖI"))</f>
        <v/>
      </c>
      <c r="B316" s="19">
        <f>IF($C316="","",TEXTJOIN(" | ",TRUE,IF(COUNTIF('01_HO_SO'!$C$6:$C$505,$C316)=0,"Mã chưa có ở Bước 1",""),IF(COUNTIF($C$6:$C$505,$C316)&gt;1,"Trùng mã trong thông tin công việc",""),IF($D316="","Thiếu trạng thái làm việc",""),IF($E316="","Thiếu ngày vào công ty",IF(OR(NOT(ISNUMBER($E316)),$E316&gt;TODAY()),"Ngày vào công ty không hợp lệ","")),IF($G316="","Thiếu phòng ban",""),IF($I316="","Thiếu chức danh",""),IF(AND($M316&lt;&gt;"",COUNTIF('01_HO_SO'!$C$6:$C$505,$M316)=0),"Mã quản lý không tồn tại",""),IF(AND($M316&lt;&gt;"",$M316=$C316),"Không thể tự quản lý chính mình",""),IF(OR($N316&lt;0,$N316&gt;1000000000),"Lương cơ bản ngoài phạm vi","")))</f>
        <v/>
      </c>
      <c r="C316" s="20" t="n"/>
      <c r="D316" s="21" t="n"/>
      <c r="E316" s="22" t="n"/>
      <c r="F316" s="21" t="n"/>
      <c r="G316" s="21" t="n"/>
      <c r="H316" s="21" t="n"/>
      <c r="I316" s="21" t="n"/>
      <c r="J316" s="19">
        <f>IF($I316="","",IFERROR(INDEX(DANH_MUC!$D$4:$D$1000,MATCH($I316,DANH_MUC!$C$4:$C$1000,0)),""))</f>
        <v/>
      </c>
      <c r="K316" s="21" t="n"/>
      <c r="L316" s="21" t="n"/>
      <c r="M316" s="20" t="n"/>
      <c r="N316" s="23" t="n"/>
      <c r="O316" s="21" t="n"/>
    </row>
    <row r="317">
      <c r="A317" s="19">
        <f>IF($C317="","CHƯA NHẬP",IF($B317="","HỢP LỆ","LỖI"))</f>
        <v/>
      </c>
      <c r="B317" s="19">
        <f>IF($C317="","",TEXTJOIN(" | ",TRUE,IF(COUNTIF('01_HO_SO'!$C$6:$C$505,$C317)=0,"Mã chưa có ở Bước 1",""),IF(COUNTIF($C$6:$C$505,$C317)&gt;1,"Trùng mã trong thông tin công việc",""),IF($D317="","Thiếu trạng thái làm việc",""),IF($E317="","Thiếu ngày vào công ty",IF(OR(NOT(ISNUMBER($E317)),$E317&gt;TODAY()),"Ngày vào công ty không hợp lệ","")),IF($G317="","Thiếu phòng ban",""),IF($I317="","Thiếu chức danh",""),IF(AND($M317&lt;&gt;"",COUNTIF('01_HO_SO'!$C$6:$C$505,$M317)=0),"Mã quản lý không tồn tại",""),IF(AND($M317&lt;&gt;"",$M317=$C317),"Không thể tự quản lý chính mình",""),IF(OR($N317&lt;0,$N317&gt;1000000000),"Lương cơ bản ngoài phạm vi","")))</f>
        <v/>
      </c>
      <c r="C317" s="20" t="n"/>
      <c r="D317" s="21" t="n"/>
      <c r="E317" s="22" t="n"/>
      <c r="F317" s="21" t="n"/>
      <c r="G317" s="21" t="n"/>
      <c r="H317" s="21" t="n"/>
      <c r="I317" s="21" t="n"/>
      <c r="J317" s="19">
        <f>IF($I317="","",IFERROR(INDEX(DANH_MUC!$D$4:$D$1000,MATCH($I317,DANH_MUC!$C$4:$C$1000,0)),""))</f>
        <v/>
      </c>
      <c r="K317" s="21" t="n"/>
      <c r="L317" s="21" t="n"/>
      <c r="M317" s="20" t="n"/>
      <c r="N317" s="23" t="n"/>
      <c r="O317" s="21" t="n"/>
    </row>
    <row r="318">
      <c r="A318" s="19">
        <f>IF($C318="","CHƯA NHẬP",IF($B318="","HỢP LỆ","LỖI"))</f>
        <v/>
      </c>
      <c r="B318" s="19">
        <f>IF($C318="","",TEXTJOIN(" | ",TRUE,IF(COUNTIF('01_HO_SO'!$C$6:$C$505,$C318)=0,"Mã chưa có ở Bước 1",""),IF(COUNTIF($C$6:$C$505,$C318)&gt;1,"Trùng mã trong thông tin công việc",""),IF($D318="","Thiếu trạng thái làm việc",""),IF($E318="","Thiếu ngày vào công ty",IF(OR(NOT(ISNUMBER($E318)),$E318&gt;TODAY()),"Ngày vào công ty không hợp lệ","")),IF($G318="","Thiếu phòng ban",""),IF($I318="","Thiếu chức danh",""),IF(AND($M318&lt;&gt;"",COUNTIF('01_HO_SO'!$C$6:$C$505,$M318)=0),"Mã quản lý không tồn tại",""),IF(AND($M318&lt;&gt;"",$M318=$C318),"Không thể tự quản lý chính mình",""),IF(OR($N318&lt;0,$N318&gt;1000000000),"Lương cơ bản ngoài phạm vi","")))</f>
        <v/>
      </c>
      <c r="C318" s="20" t="n"/>
      <c r="D318" s="21" t="n"/>
      <c r="E318" s="22" t="n"/>
      <c r="F318" s="21" t="n"/>
      <c r="G318" s="21" t="n"/>
      <c r="H318" s="21" t="n"/>
      <c r="I318" s="21" t="n"/>
      <c r="J318" s="19">
        <f>IF($I318="","",IFERROR(INDEX(DANH_MUC!$D$4:$D$1000,MATCH($I318,DANH_MUC!$C$4:$C$1000,0)),""))</f>
        <v/>
      </c>
      <c r="K318" s="21" t="n"/>
      <c r="L318" s="21" t="n"/>
      <c r="M318" s="20" t="n"/>
      <c r="N318" s="23" t="n"/>
      <c r="O318" s="21" t="n"/>
    </row>
    <row r="319">
      <c r="A319" s="19">
        <f>IF($C319="","CHƯA NHẬP",IF($B319="","HỢP LỆ","LỖI"))</f>
        <v/>
      </c>
      <c r="B319" s="19">
        <f>IF($C319="","",TEXTJOIN(" | ",TRUE,IF(COUNTIF('01_HO_SO'!$C$6:$C$505,$C319)=0,"Mã chưa có ở Bước 1",""),IF(COUNTIF($C$6:$C$505,$C319)&gt;1,"Trùng mã trong thông tin công việc",""),IF($D319="","Thiếu trạng thái làm việc",""),IF($E319="","Thiếu ngày vào công ty",IF(OR(NOT(ISNUMBER($E319)),$E319&gt;TODAY()),"Ngày vào công ty không hợp lệ","")),IF($G319="","Thiếu phòng ban",""),IF($I319="","Thiếu chức danh",""),IF(AND($M319&lt;&gt;"",COUNTIF('01_HO_SO'!$C$6:$C$505,$M319)=0),"Mã quản lý không tồn tại",""),IF(AND($M319&lt;&gt;"",$M319=$C319),"Không thể tự quản lý chính mình",""),IF(OR($N319&lt;0,$N319&gt;1000000000),"Lương cơ bản ngoài phạm vi","")))</f>
        <v/>
      </c>
      <c r="C319" s="20" t="n"/>
      <c r="D319" s="21" t="n"/>
      <c r="E319" s="22" t="n"/>
      <c r="F319" s="21" t="n"/>
      <c r="G319" s="21" t="n"/>
      <c r="H319" s="21" t="n"/>
      <c r="I319" s="21" t="n"/>
      <c r="J319" s="19">
        <f>IF($I319="","",IFERROR(INDEX(DANH_MUC!$D$4:$D$1000,MATCH($I319,DANH_MUC!$C$4:$C$1000,0)),""))</f>
        <v/>
      </c>
      <c r="K319" s="21" t="n"/>
      <c r="L319" s="21" t="n"/>
      <c r="M319" s="20" t="n"/>
      <c r="N319" s="23" t="n"/>
      <c r="O319" s="21" t="n"/>
    </row>
    <row r="320">
      <c r="A320" s="19">
        <f>IF($C320="","CHƯA NHẬP",IF($B320="","HỢP LỆ","LỖI"))</f>
        <v/>
      </c>
      <c r="B320" s="19">
        <f>IF($C320="","",TEXTJOIN(" | ",TRUE,IF(COUNTIF('01_HO_SO'!$C$6:$C$505,$C320)=0,"Mã chưa có ở Bước 1",""),IF(COUNTIF($C$6:$C$505,$C320)&gt;1,"Trùng mã trong thông tin công việc",""),IF($D320="","Thiếu trạng thái làm việc",""),IF($E320="","Thiếu ngày vào công ty",IF(OR(NOT(ISNUMBER($E320)),$E320&gt;TODAY()),"Ngày vào công ty không hợp lệ","")),IF($G320="","Thiếu phòng ban",""),IF($I320="","Thiếu chức danh",""),IF(AND($M320&lt;&gt;"",COUNTIF('01_HO_SO'!$C$6:$C$505,$M320)=0),"Mã quản lý không tồn tại",""),IF(AND($M320&lt;&gt;"",$M320=$C320),"Không thể tự quản lý chính mình",""),IF(OR($N320&lt;0,$N320&gt;1000000000),"Lương cơ bản ngoài phạm vi","")))</f>
        <v/>
      </c>
      <c r="C320" s="20" t="n"/>
      <c r="D320" s="21" t="n"/>
      <c r="E320" s="22" t="n"/>
      <c r="F320" s="21" t="n"/>
      <c r="G320" s="21" t="n"/>
      <c r="H320" s="21" t="n"/>
      <c r="I320" s="21" t="n"/>
      <c r="J320" s="19">
        <f>IF($I320="","",IFERROR(INDEX(DANH_MUC!$D$4:$D$1000,MATCH($I320,DANH_MUC!$C$4:$C$1000,0)),""))</f>
        <v/>
      </c>
      <c r="K320" s="21" t="n"/>
      <c r="L320" s="21" t="n"/>
      <c r="M320" s="20" t="n"/>
      <c r="N320" s="23" t="n"/>
      <c r="O320" s="21" t="n"/>
    </row>
    <row r="321">
      <c r="A321" s="19">
        <f>IF($C321="","CHƯA NHẬP",IF($B321="","HỢP LỆ","LỖI"))</f>
        <v/>
      </c>
      <c r="B321" s="19">
        <f>IF($C321="","",TEXTJOIN(" | ",TRUE,IF(COUNTIF('01_HO_SO'!$C$6:$C$505,$C321)=0,"Mã chưa có ở Bước 1",""),IF(COUNTIF($C$6:$C$505,$C321)&gt;1,"Trùng mã trong thông tin công việc",""),IF($D321="","Thiếu trạng thái làm việc",""),IF($E321="","Thiếu ngày vào công ty",IF(OR(NOT(ISNUMBER($E321)),$E321&gt;TODAY()),"Ngày vào công ty không hợp lệ","")),IF($G321="","Thiếu phòng ban",""),IF($I321="","Thiếu chức danh",""),IF(AND($M321&lt;&gt;"",COUNTIF('01_HO_SO'!$C$6:$C$505,$M321)=0),"Mã quản lý không tồn tại",""),IF(AND($M321&lt;&gt;"",$M321=$C321),"Không thể tự quản lý chính mình",""),IF(OR($N321&lt;0,$N321&gt;1000000000),"Lương cơ bản ngoài phạm vi","")))</f>
        <v/>
      </c>
      <c r="C321" s="20" t="n"/>
      <c r="D321" s="21" t="n"/>
      <c r="E321" s="22" t="n"/>
      <c r="F321" s="21" t="n"/>
      <c r="G321" s="21" t="n"/>
      <c r="H321" s="21" t="n"/>
      <c r="I321" s="21" t="n"/>
      <c r="J321" s="19">
        <f>IF($I321="","",IFERROR(INDEX(DANH_MUC!$D$4:$D$1000,MATCH($I321,DANH_MUC!$C$4:$C$1000,0)),""))</f>
        <v/>
      </c>
      <c r="K321" s="21" t="n"/>
      <c r="L321" s="21" t="n"/>
      <c r="M321" s="20" t="n"/>
      <c r="N321" s="23" t="n"/>
      <c r="O321" s="21" t="n"/>
    </row>
    <row r="322">
      <c r="A322" s="19">
        <f>IF($C322="","CHƯA NHẬP",IF($B322="","HỢP LỆ","LỖI"))</f>
        <v/>
      </c>
      <c r="B322" s="19">
        <f>IF($C322="","",TEXTJOIN(" | ",TRUE,IF(COUNTIF('01_HO_SO'!$C$6:$C$505,$C322)=0,"Mã chưa có ở Bước 1",""),IF(COUNTIF($C$6:$C$505,$C322)&gt;1,"Trùng mã trong thông tin công việc",""),IF($D322="","Thiếu trạng thái làm việc",""),IF($E322="","Thiếu ngày vào công ty",IF(OR(NOT(ISNUMBER($E322)),$E322&gt;TODAY()),"Ngày vào công ty không hợp lệ","")),IF($G322="","Thiếu phòng ban",""),IF($I322="","Thiếu chức danh",""),IF(AND($M322&lt;&gt;"",COUNTIF('01_HO_SO'!$C$6:$C$505,$M322)=0),"Mã quản lý không tồn tại",""),IF(AND($M322&lt;&gt;"",$M322=$C322),"Không thể tự quản lý chính mình",""),IF(OR($N322&lt;0,$N322&gt;1000000000),"Lương cơ bản ngoài phạm vi","")))</f>
        <v/>
      </c>
      <c r="C322" s="20" t="n"/>
      <c r="D322" s="21" t="n"/>
      <c r="E322" s="22" t="n"/>
      <c r="F322" s="21" t="n"/>
      <c r="G322" s="21" t="n"/>
      <c r="H322" s="21" t="n"/>
      <c r="I322" s="21" t="n"/>
      <c r="J322" s="19">
        <f>IF($I322="","",IFERROR(INDEX(DANH_MUC!$D$4:$D$1000,MATCH($I322,DANH_MUC!$C$4:$C$1000,0)),""))</f>
        <v/>
      </c>
      <c r="K322" s="21" t="n"/>
      <c r="L322" s="21" t="n"/>
      <c r="M322" s="20" t="n"/>
      <c r="N322" s="23" t="n"/>
      <c r="O322" s="21" t="n"/>
    </row>
    <row r="323">
      <c r="A323" s="19">
        <f>IF($C323="","CHƯA NHẬP",IF($B323="","HỢP LỆ","LỖI"))</f>
        <v/>
      </c>
      <c r="B323" s="19">
        <f>IF($C323="","",TEXTJOIN(" | ",TRUE,IF(COUNTIF('01_HO_SO'!$C$6:$C$505,$C323)=0,"Mã chưa có ở Bước 1",""),IF(COUNTIF($C$6:$C$505,$C323)&gt;1,"Trùng mã trong thông tin công việc",""),IF($D323="","Thiếu trạng thái làm việc",""),IF($E323="","Thiếu ngày vào công ty",IF(OR(NOT(ISNUMBER($E323)),$E323&gt;TODAY()),"Ngày vào công ty không hợp lệ","")),IF($G323="","Thiếu phòng ban",""),IF($I323="","Thiếu chức danh",""),IF(AND($M323&lt;&gt;"",COUNTIF('01_HO_SO'!$C$6:$C$505,$M323)=0),"Mã quản lý không tồn tại",""),IF(AND($M323&lt;&gt;"",$M323=$C323),"Không thể tự quản lý chính mình",""),IF(OR($N323&lt;0,$N323&gt;1000000000),"Lương cơ bản ngoài phạm vi","")))</f>
        <v/>
      </c>
      <c r="C323" s="20" t="n"/>
      <c r="D323" s="21" t="n"/>
      <c r="E323" s="22" t="n"/>
      <c r="F323" s="21" t="n"/>
      <c r="G323" s="21" t="n"/>
      <c r="H323" s="21" t="n"/>
      <c r="I323" s="21" t="n"/>
      <c r="J323" s="19">
        <f>IF($I323="","",IFERROR(INDEX(DANH_MUC!$D$4:$D$1000,MATCH($I323,DANH_MUC!$C$4:$C$1000,0)),""))</f>
        <v/>
      </c>
      <c r="K323" s="21" t="n"/>
      <c r="L323" s="21" t="n"/>
      <c r="M323" s="20" t="n"/>
      <c r="N323" s="23" t="n"/>
      <c r="O323" s="21" t="n"/>
    </row>
    <row r="324">
      <c r="A324" s="19">
        <f>IF($C324="","CHƯA NHẬP",IF($B324="","HỢP LỆ","LỖI"))</f>
        <v/>
      </c>
      <c r="B324" s="19">
        <f>IF($C324="","",TEXTJOIN(" | ",TRUE,IF(COUNTIF('01_HO_SO'!$C$6:$C$505,$C324)=0,"Mã chưa có ở Bước 1",""),IF(COUNTIF($C$6:$C$505,$C324)&gt;1,"Trùng mã trong thông tin công việc",""),IF($D324="","Thiếu trạng thái làm việc",""),IF($E324="","Thiếu ngày vào công ty",IF(OR(NOT(ISNUMBER($E324)),$E324&gt;TODAY()),"Ngày vào công ty không hợp lệ","")),IF($G324="","Thiếu phòng ban",""),IF($I324="","Thiếu chức danh",""),IF(AND($M324&lt;&gt;"",COUNTIF('01_HO_SO'!$C$6:$C$505,$M324)=0),"Mã quản lý không tồn tại",""),IF(AND($M324&lt;&gt;"",$M324=$C324),"Không thể tự quản lý chính mình",""),IF(OR($N324&lt;0,$N324&gt;1000000000),"Lương cơ bản ngoài phạm vi","")))</f>
        <v/>
      </c>
      <c r="C324" s="20" t="n"/>
      <c r="D324" s="21" t="n"/>
      <c r="E324" s="22" t="n"/>
      <c r="F324" s="21" t="n"/>
      <c r="G324" s="21" t="n"/>
      <c r="H324" s="21" t="n"/>
      <c r="I324" s="21" t="n"/>
      <c r="J324" s="19">
        <f>IF($I324="","",IFERROR(INDEX(DANH_MUC!$D$4:$D$1000,MATCH($I324,DANH_MUC!$C$4:$C$1000,0)),""))</f>
        <v/>
      </c>
      <c r="K324" s="21" t="n"/>
      <c r="L324" s="21" t="n"/>
      <c r="M324" s="20" t="n"/>
      <c r="N324" s="23" t="n"/>
      <c r="O324" s="21" t="n"/>
    </row>
    <row r="325">
      <c r="A325" s="19">
        <f>IF($C325="","CHƯA NHẬP",IF($B325="","HỢP LỆ","LỖI"))</f>
        <v/>
      </c>
      <c r="B325" s="19">
        <f>IF($C325="","",TEXTJOIN(" | ",TRUE,IF(COUNTIF('01_HO_SO'!$C$6:$C$505,$C325)=0,"Mã chưa có ở Bước 1",""),IF(COUNTIF($C$6:$C$505,$C325)&gt;1,"Trùng mã trong thông tin công việc",""),IF($D325="","Thiếu trạng thái làm việc",""),IF($E325="","Thiếu ngày vào công ty",IF(OR(NOT(ISNUMBER($E325)),$E325&gt;TODAY()),"Ngày vào công ty không hợp lệ","")),IF($G325="","Thiếu phòng ban",""),IF($I325="","Thiếu chức danh",""),IF(AND($M325&lt;&gt;"",COUNTIF('01_HO_SO'!$C$6:$C$505,$M325)=0),"Mã quản lý không tồn tại",""),IF(AND($M325&lt;&gt;"",$M325=$C325),"Không thể tự quản lý chính mình",""),IF(OR($N325&lt;0,$N325&gt;1000000000),"Lương cơ bản ngoài phạm vi","")))</f>
        <v/>
      </c>
      <c r="C325" s="20" t="n"/>
      <c r="D325" s="21" t="n"/>
      <c r="E325" s="22" t="n"/>
      <c r="F325" s="21" t="n"/>
      <c r="G325" s="21" t="n"/>
      <c r="H325" s="21" t="n"/>
      <c r="I325" s="21" t="n"/>
      <c r="J325" s="19">
        <f>IF($I325="","",IFERROR(INDEX(DANH_MUC!$D$4:$D$1000,MATCH($I325,DANH_MUC!$C$4:$C$1000,0)),""))</f>
        <v/>
      </c>
      <c r="K325" s="21" t="n"/>
      <c r="L325" s="21" t="n"/>
      <c r="M325" s="20" t="n"/>
      <c r="N325" s="23" t="n"/>
      <c r="O325" s="21" t="n"/>
    </row>
    <row r="326">
      <c r="A326" s="19">
        <f>IF($C326="","CHƯA NHẬP",IF($B326="","HỢP LỆ","LỖI"))</f>
        <v/>
      </c>
      <c r="B326" s="19">
        <f>IF($C326="","",TEXTJOIN(" | ",TRUE,IF(COUNTIF('01_HO_SO'!$C$6:$C$505,$C326)=0,"Mã chưa có ở Bước 1",""),IF(COUNTIF($C$6:$C$505,$C326)&gt;1,"Trùng mã trong thông tin công việc",""),IF($D326="","Thiếu trạng thái làm việc",""),IF($E326="","Thiếu ngày vào công ty",IF(OR(NOT(ISNUMBER($E326)),$E326&gt;TODAY()),"Ngày vào công ty không hợp lệ","")),IF($G326="","Thiếu phòng ban",""),IF($I326="","Thiếu chức danh",""),IF(AND($M326&lt;&gt;"",COUNTIF('01_HO_SO'!$C$6:$C$505,$M326)=0),"Mã quản lý không tồn tại",""),IF(AND($M326&lt;&gt;"",$M326=$C326),"Không thể tự quản lý chính mình",""),IF(OR($N326&lt;0,$N326&gt;1000000000),"Lương cơ bản ngoài phạm vi","")))</f>
        <v/>
      </c>
      <c r="C326" s="20" t="n"/>
      <c r="D326" s="21" t="n"/>
      <c r="E326" s="22" t="n"/>
      <c r="F326" s="21" t="n"/>
      <c r="G326" s="21" t="n"/>
      <c r="H326" s="21" t="n"/>
      <c r="I326" s="21" t="n"/>
      <c r="J326" s="19">
        <f>IF($I326="","",IFERROR(INDEX(DANH_MUC!$D$4:$D$1000,MATCH($I326,DANH_MUC!$C$4:$C$1000,0)),""))</f>
        <v/>
      </c>
      <c r="K326" s="21" t="n"/>
      <c r="L326" s="21" t="n"/>
      <c r="M326" s="20" t="n"/>
      <c r="N326" s="23" t="n"/>
      <c r="O326" s="21" t="n"/>
    </row>
    <row r="327">
      <c r="A327" s="19">
        <f>IF($C327="","CHƯA NHẬP",IF($B327="","HỢP LỆ","LỖI"))</f>
        <v/>
      </c>
      <c r="B327" s="19">
        <f>IF($C327="","",TEXTJOIN(" | ",TRUE,IF(COUNTIF('01_HO_SO'!$C$6:$C$505,$C327)=0,"Mã chưa có ở Bước 1",""),IF(COUNTIF($C$6:$C$505,$C327)&gt;1,"Trùng mã trong thông tin công việc",""),IF($D327="","Thiếu trạng thái làm việc",""),IF($E327="","Thiếu ngày vào công ty",IF(OR(NOT(ISNUMBER($E327)),$E327&gt;TODAY()),"Ngày vào công ty không hợp lệ","")),IF($G327="","Thiếu phòng ban",""),IF($I327="","Thiếu chức danh",""),IF(AND($M327&lt;&gt;"",COUNTIF('01_HO_SO'!$C$6:$C$505,$M327)=0),"Mã quản lý không tồn tại",""),IF(AND($M327&lt;&gt;"",$M327=$C327),"Không thể tự quản lý chính mình",""),IF(OR($N327&lt;0,$N327&gt;1000000000),"Lương cơ bản ngoài phạm vi","")))</f>
        <v/>
      </c>
      <c r="C327" s="20" t="n"/>
      <c r="D327" s="21" t="n"/>
      <c r="E327" s="22" t="n"/>
      <c r="F327" s="21" t="n"/>
      <c r="G327" s="21" t="n"/>
      <c r="H327" s="21" t="n"/>
      <c r="I327" s="21" t="n"/>
      <c r="J327" s="19">
        <f>IF($I327="","",IFERROR(INDEX(DANH_MUC!$D$4:$D$1000,MATCH($I327,DANH_MUC!$C$4:$C$1000,0)),""))</f>
        <v/>
      </c>
      <c r="K327" s="21" t="n"/>
      <c r="L327" s="21" t="n"/>
      <c r="M327" s="20" t="n"/>
      <c r="N327" s="23" t="n"/>
      <c r="O327" s="21" t="n"/>
    </row>
    <row r="328">
      <c r="A328" s="19">
        <f>IF($C328="","CHƯA NHẬP",IF($B328="","HỢP LỆ","LỖI"))</f>
        <v/>
      </c>
      <c r="B328" s="19">
        <f>IF($C328="","",TEXTJOIN(" | ",TRUE,IF(COUNTIF('01_HO_SO'!$C$6:$C$505,$C328)=0,"Mã chưa có ở Bước 1",""),IF(COUNTIF($C$6:$C$505,$C328)&gt;1,"Trùng mã trong thông tin công việc",""),IF($D328="","Thiếu trạng thái làm việc",""),IF($E328="","Thiếu ngày vào công ty",IF(OR(NOT(ISNUMBER($E328)),$E328&gt;TODAY()),"Ngày vào công ty không hợp lệ","")),IF($G328="","Thiếu phòng ban",""),IF($I328="","Thiếu chức danh",""),IF(AND($M328&lt;&gt;"",COUNTIF('01_HO_SO'!$C$6:$C$505,$M328)=0),"Mã quản lý không tồn tại",""),IF(AND($M328&lt;&gt;"",$M328=$C328),"Không thể tự quản lý chính mình",""),IF(OR($N328&lt;0,$N328&gt;1000000000),"Lương cơ bản ngoài phạm vi","")))</f>
        <v/>
      </c>
      <c r="C328" s="20" t="n"/>
      <c r="D328" s="21" t="n"/>
      <c r="E328" s="22" t="n"/>
      <c r="F328" s="21" t="n"/>
      <c r="G328" s="21" t="n"/>
      <c r="H328" s="21" t="n"/>
      <c r="I328" s="21" t="n"/>
      <c r="J328" s="19">
        <f>IF($I328="","",IFERROR(INDEX(DANH_MUC!$D$4:$D$1000,MATCH($I328,DANH_MUC!$C$4:$C$1000,0)),""))</f>
        <v/>
      </c>
      <c r="K328" s="21" t="n"/>
      <c r="L328" s="21" t="n"/>
      <c r="M328" s="20" t="n"/>
      <c r="N328" s="23" t="n"/>
      <c r="O328" s="21" t="n"/>
    </row>
    <row r="329">
      <c r="A329" s="19">
        <f>IF($C329="","CHƯA NHẬP",IF($B329="","HỢP LỆ","LỖI"))</f>
        <v/>
      </c>
      <c r="B329" s="19">
        <f>IF($C329="","",TEXTJOIN(" | ",TRUE,IF(COUNTIF('01_HO_SO'!$C$6:$C$505,$C329)=0,"Mã chưa có ở Bước 1",""),IF(COUNTIF($C$6:$C$505,$C329)&gt;1,"Trùng mã trong thông tin công việc",""),IF($D329="","Thiếu trạng thái làm việc",""),IF($E329="","Thiếu ngày vào công ty",IF(OR(NOT(ISNUMBER($E329)),$E329&gt;TODAY()),"Ngày vào công ty không hợp lệ","")),IF($G329="","Thiếu phòng ban",""),IF($I329="","Thiếu chức danh",""),IF(AND($M329&lt;&gt;"",COUNTIF('01_HO_SO'!$C$6:$C$505,$M329)=0),"Mã quản lý không tồn tại",""),IF(AND($M329&lt;&gt;"",$M329=$C329),"Không thể tự quản lý chính mình",""),IF(OR($N329&lt;0,$N329&gt;1000000000),"Lương cơ bản ngoài phạm vi","")))</f>
        <v/>
      </c>
      <c r="C329" s="20" t="n"/>
      <c r="D329" s="21" t="n"/>
      <c r="E329" s="22" t="n"/>
      <c r="F329" s="21" t="n"/>
      <c r="G329" s="21" t="n"/>
      <c r="H329" s="21" t="n"/>
      <c r="I329" s="21" t="n"/>
      <c r="J329" s="19">
        <f>IF($I329="","",IFERROR(INDEX(DANH_MUC!$D$4:$D$1000,MATCH($I329,DANH_MUC!$C$4:$C$1000,0)),""))</f>
        <v/>
      </c>
      <c r="K329" s="21" t="n"/>
      <c r="L329" s="21" t="n"/>
      <c r="M329" s="20" t="n"/>
      <c r="N329" s="23" t="n"/>
      <c r="O329" s="21" t="n"/>
    </row>
    <row r="330">
      <c r="A330" s="19">
        <f>IF($C330="","CHƯA NHẬP",IF($B330="","HỢP LỆ","LỖI"))</f>
        <v/>
      </c>
      <c r="B330" s="19">
        <f>IF($C330="","",TEXTJOIN(" | ",TRUE,IF(COUNTIF('01_HO_SO'!$C$6:$C$505,$C330)=0,"Mã chưa có ở Bước 1",""),IF(COUNTIF($C$6:$C$505,$C330)&gt;1,"Trùng mã trong thông tin công việc",""),IF($D330="","Thiếu trạng thái làm việc",""),IF($E330="","Thiếu ngày vào công ty",IF(OR(NOT(ISNUMBER($E330)),$E330&gt;TODAY()),"Ngày vào công ty không hợp lệ","")),IF($G330="","Thiếu phòng ban",""),IF($I330="","Thiếu chức danh",""),IF(AND($M330&lt;&gt;"",COUNTIF('01_HO_SO'!$C$6:$C$505,$M330)=0),"Mã quản lý không tồn tại",""),IF(AND($M330&lt;&gt;"",$M330=$C330),"Không thể tự quản lý chính mình",""),IF(OR($N330&lt;0,$N330&gt;1000000000),"Lương cơ bản ngoài phạm vi","")))</f>
        <v/>
      </c>
      <c r="C330" s="20" t="n"/>
      <c r="D330" s="21" t="n"/>
      <c r="E330" s="22" t="n"/>
      <c r="F330" s="21" t="n"/>
      <c r="G330" s="21" t="n"/>
      <c r="H330" s="21" t="n"/>
      <c r="I330" s="21" t="n"/>
      <c r="J330" s="19">
        <f>IF($I330="","",IFERROR(INDEX(DANH_MUC!$D$4:$D$1000,MATCH($I330,DANH_MUC!$C$4:$C$1000,0)),""))</f>
        <v/>
      </c>
      <c r="K330" s="21" t="n"/>
      <c r="L330" s="21" t="n"/>
      <c r="M330" s="20" t="n"/>
      <c r="N330" s="23" t="n"/>
      <c r="O330" s="21" t="n"/>
    </row>
    <row r="331">
      <c r="A331" s="19">
        <f>IF($C331="","CHƯA NHẬP",IF($B331="","HỢP LỆ","LỖI"))</f>
        <v/>
      </c>
      <c r="B331" s="19">
        <f>IF($C331="","",TEXTJOIN(" | ",TRUE,IF(COUNTIF('01_HO_SO'!$C$6:$C$505,$C331)=0,"Mã chưa có ở Bước 1",""),IF(COUNTIF($C$6:$C$505,$C331)&gt;1,"Trùng mã trong thông tin công việc",""),IF($D331="","Thiếu trạng thái làm việc",""),IF($E331="","Thiếu ngày vào công ty",IF(OR(NOT(ISNUMBER($E331)),$E331&gt;TODAY()),"Ngày vào công ty không hợp lệ","")),IF($G331="","Thiếu phòng ban",""),IF($I331="","Thiếu chức danh",""),IF(AND($M331&lt;&gt;"",COUNTIF('01_HO_SO'!$C$6:$C$505,$M331)=0),"Mã quản lý không tồn tại",""),IF(AND($M331&lt;&gt;"",$M331=$C331),"Không thể tự quản lý chính mình",""),IF(OR($N331&lt;0,$N331&gt;1000000000),"Lương cơ bản ngoài phạm vi","")))</f>
        <v/>
      </c>
      <c r="C331" s="20" t="n"/>
      <c r="D331" s="21" t="n"/>
      <c r="E331" s="22" t="n"/>
      <c r="F331" s="21" t="n"/>
      <c r="G331" s="21" t="n"/>
      <c r="H331" s="21" t="n"/>
      <c r="I331" s="21" t="n"/>
      <c r="J331" s="19">
        <f>IF($I331="","",IFERROR(INDEX(DANH_MUC!$D$4:$D$1000,MATCH($I331,DANH_MUC!$C$4:$C$1000,0)),""))</f>
        <v/>
      </c>
      <c r="K331" s="21" t="n"/>
      <c r="L331" s="21" t="n"/>
      <c r="M331" s="20" t="n"/>
      <c r="N331" s="23" t="n"/>
      <c r="O331" s="21" t="n"/>
    </row>
    <row r="332">
      <c r="A332" s="19">
        <f>IF($C332="","CHƯA NHẬP",IF($B332="","HỢP LỆ","LỖI"))</f>
        <v/>
      </c>
      <c r="B332" s="19">
        <f>IF($C332="","",TEXTJOIN(" | ",TRUE,IF(COUNTIF('01_HO_SO'!$C$6:$C$505,$C332)=0,"Mã chưa có ở Bước 1",""),IF(COUNTIF($C$6:$C$505,$C332)&gt;1,"Trùng mã trong thông tin công việc",""),IF($D332="","Thiếu trạng thái làm việc",""),IF($E332="","Thiếu ngày vào công ty",IF(OR(NOT(ISNUMBER($E332)),$E332&gt;TODAY()),"Ngày vào công ty không hợp lệ","")),IF($G332="","Thiếu phòng ban",""),IF($I332="","Thiếu chức danh",""),IF(AND($M332&lt;&gt;"",COUNTIF('01_HO_SO'!$C$6:$C$505,$M332)=0),"Mã quản lý không tồn tại",""),IF(AND($M332&lt;&gt;"",$M332=$C332),"Không thể tự quản lý chính mình",""),IF(OR($N332&lt;0,$N332&gt;1000000000),"Lương cơ bản ngoài phạm vi","")))</f>
        <v/>
      </c>
      <c r="C332" s="20" t="n"/>
      <c r="D332" s="21" t="n"/>
      <c r="E332" s="22" t="n"/>
      <c r="F332" s="21" t="n"/>
      <c r="G332" s="21" t="n"/>
      <c r="H332" s="21" t="n"/>
      <c r="I332" s="21" t="n"/>
      <c r="J332" s="19">
        <f>IF($I332="","",IFERROR(INDEX(DANH_MUC!$D$4:$D$1000,MATCH($I332,DANH_MUC!$C$4:$C$1000,0)),""))</f>
        <v/>
      </c>
      <c r="K332" s="21" t="n"/>
      <c r="L332" s="21" t="n"/>
      <c r="M332" s="20" t="n"/>
      <c r="N332" s="23" t="n"/>
      <c r="O332" s="21" t="n"/>
    </row>
    <row r="333">
      <c r="A333" s="19">
        <f>IF($C333="","CHƯA NHẬP",IF($B333="","HỢP LỆ","LỖI"))</f>
        <v/>
      </c>
      <c r="B333" s="19">
        <f>IF($C333="","",TEXTJOIN(" | ",TRUE,IF(COUNTIF('01_HO_SO'!$C$6:$C$505,$C333)=0,"Mã chưa có ở Bước 1",""),IF(COUNTIF($C$6:$C$505,$C333)&gt;1,"Trùng mã trong thông tin công việc",""),IF($D333="","Thiếu trạng thái làm việc",""),IF($E333="","Thiếu ngày vào công ty",IF(OR(NOT(ISNUMBER($E333)),$E333&gt;TODAY()),"Ngày vào công ty không hợp lệ","")),IF($G333="","Thiếu phòng ban",""),IF($I333="","Thiếu chức danh",""),IF(AND($M333&lt;&gt;"",COUNTIF('01_HO_SO'!$C$6:$C$505,$M333)=0),"Mã quản lý không tồn tại",""),IF(AND($M333&lt;&gt;"",$M333=$C333),"Không thể tự quản lý chính mình",""),IF(OR($N333&lt;0,$N333&gt;1000000000),"Lương cơ bản ngoài phạm vi","")))</f>
        <v/>
      </c>
      <c r="C333" s="20" t="n"/>
      <c r="D333" s="21" t="n"/>
      <c r="E333" s="22" t="n"/>
      <c r="F333" s="21" t="n"/>
      <c r="G333" s="21" t="n"/>
      <c r="H333" s="21" t="n"/>
      <c r="I333" s="21" t="n"/>
      <c r="J333" s="19">
        <f>IF($I333="","",IFERROR(INDEX(DANH_MUC!$D$4:$D$1000,MATCH($I333,DANH_MUC!$C$4:$C$1000,0)),""))</f>
        <v/>
      </c>
      <c r="K333" s="21" t="n"/>
      <c r="L333" s="21" t="n"/>
      <c r="M333" s="20" t="n"/>
      <c r="N333" s="23" t="n"/>
      <c r="O333" s="21" t="n"/>
    </row>
    <row r="334">
      <c r="A334" s="19">
        <f>IF($C334="","CHƯA NHẬP",IF($B334="","HỢP LỆ","LỖI"))</f>
        <v/>
      </c>
      <c r="B334" s="19">
        <f>IF($C334="","",TEXTJOIN(" | ",TRUE,IF(COUNTIF('01_HO_SO'!$C$6:$C$505,$C334)=0,"Mã chưa có ở Bước 1",""),IF(COUNTIF($C$6:$C$505,$C334)&gt;1,"Trùng mã trong thông tin công việc",""),IF($D334="","Thiếu trạng thái làm việc",""),IF($E334="","Thiếu ngày vào công ty",IF(OR(NOT(ISNUMBER($E334)),$E334&gt;TODAY()),"Ngày vào công ty không hợp lệ","")),IF($G334="","Thiếu phòng ban",""),IF($I334="","Thiếu chức danh",""),IF(AND($M334&lt;&gt;"",COUNTIF('01_HO_SO'!$C$6:$C$505,$M334)=0),"Mã quản lý không tồn tại",""),IF(AND($M334&lt;&gt;"",$M334=$C334),"Không thể tự quản lý chính mình",""),IF(OR($N334&lt;0,$N334&gt;1000000000),"Lương cơ bản ngoài phạm vi","")))</f>
        <v/>
      </c>
      <c r="C334" s="20" t="n"/>
      <c r="D334" s="21" t="n"/>
      <c r="E334" s="22" t="n"/>
      <c r="F334" s="21" t="n"/>
      <c r="G334" s="21" t="n"/>
      <c r="H334" s="21" t="n"/>
      <c r="I334" s="21" t="n"/>
      <c r="J334" s="19">
        <f>IF($I334="","",IFERROR(INDEX(DANH_MUC!$D$4:$D$1000,MATCH($I334,DANH_MUC!$C$4:$C$1000,0)),""))</f>
        <v/>
      </c>
      <c r="K334" s="21" t="n"/>
      <c r="L334" s="21" t="n"/>
      <c r="M334" s="20" t="n"/>
      <c r="N334" s="23" t="n"/>
      <c r="O334" s="21" t="n"/>
    </row>
    <row r="335">
      <c r="A335" s="19">
        <f>IF($C335="","CHƯA NHẬP",IF($B335="","HỢP LỆ","LỖI"))</f>
        <v/>
      </c>
      <c r="B335" s="19">
        <f>IF($C335="","",TEXTJOIN(" | ",TRUE,IF(COUNTIF('01_HO_SO'!$C$6:$C$505,$C335)=0,"Mã chưa có ở Bước 1",""),IF(COUNTIF($C$6:$C$505,$C335)&gt;1,"Trùng mã trong thông tin công việc",""),IF($D335="","Thiếu trạng thái làm việc",""),IF($E335="","Thiếu ngày vào công ty",IF(OR(NOT(ISNUMBER($E335)),$E335&gt;TODAY()),"Ngày vào công ty không hợp lệ","")),IF($G335="","Thiếu phòng ban",""),IF($I335="","Thiếu chức danh",""),IF(AND($M335&lt;&gt;"",COUNTIF('01_HO_SO'!$C$6:$C$505,$M335)=0),"Mã quản lý không tồn tại",""),IF(AND($M335&lt;&gt;"",$M335=$C335),"Không thể tự quản lý chính mình",""),IF(OR($N335&lt;0,$N335&gt;1000000000),"Lương cơ bản ngoài phạm vi","")))</f>
        <v/>
      </c>
      <c r="C335" s="20" t="n"/>
      <c r="D335" s="21" t="n"/>
      <c r="E335" s="22" t="n"/>
      <c r="F335" s="21" t="n"/>
      <c r="G335" s="21" t="n"/>
      <c r="H335" s="21" t="n"/>
      <c r="I335" s="21" t="n"/>
      <c r="J335" s="19">
        <f>IF($I335="","",IFERROR(INDEX(DANH_MUC!$D$4:$D$1000,MATCH($I335,DANH_MUC!$C$4:$C$1000,0)),""))</f>
        <v/>
      </c>
      <c r="K335" s="21" t="n"/>
      <c r="L335" s="21" t="n"/>
      <c r="M335" s="20" t="n"/>
      <c r="N335" s="23" t="n"/>
      <c r="O335" s="21" t="n"/>
    </row>
    <row r="336">
      <c r="A336" s="19">
        <f>IF($C336="","CHƯA NHẬP",IF($B336="","HỢP LỆ","LỖI"))</f>
        <v/>
      </c>
      <c r="B336" s="19">
        <f>IF($C336="","",TEXTJOIN(" | ",TRUE,IF(COUNTIF('01_HO_SO'!$C$6:$C$505,$C336)=0,"Mã chưa có ở Bước 1",""),IF(COUNTIF($C$6:$C$505,$C336)&gt;1,"Trùng mã trong thông tin công việc",""),IF($D336="","Thiếu trạng thái làm việc",""),IF($E336="","Thiếu ngày vào công ty",IF(OR(NOT(ISNUMBER($E336)),$E336&gt;TODAY()),"Ngày vào công ty không hợp lệ","")),IF($G336="","Thiếu phòng ban",""),IF($I336="","Thiếu chức danh",""),IF(AND($M336&lt;&gt;"",COUNTIF('01_HO_SO'!$C$6:$C$505,$M336)=0),"Mã quản lý không tồn tại",""),IF(AND($M336&lt;&gt;"",$M336=$C336),"Không thể tự quản lý chính mình",""),IF(OR($N336&lt;0,$N336&gt;1000000000),"Lương cơ bản ngoài phạm vi","")))</f>
        <v/>
      </c>
      <c r="C336" s="20" t="n"/>
      <c r="D336" s="21" t="n"/>
      <c r="E336" s="22" t="n"/>
      <c r="F336" s="21" t="n"/>
      <c r="G336" s="21" t="n"/>
      <c r="H336" s="21" t="n"/>
      <c r="I336" s="21" t="n"/>
      <c r="J336" s="19">
        <f>IF($I336="","",IFERROR(INDEX(DANH_MUC!$D$4:$D$1000,MATCH($I336,DANH_MUC!$C$4:$C$1000,0)),""))</f>
        <v/>
      </c>
      <c r="K336" s="21" t="n"/>
      <c r="L336" s="21" t="n"/>
      <c r="M336" s="20" t="n"/>
      <c r="N336" s="23" t="n"/>
      <c r="O336" s="21" t="n"/>
    </row>
    <row r="337">
      <c r="A337" s="19">
        <f>IF($C337="","CHƯA NHẬP",IF($B337="","HỢP LỆ","LỖI"))</f>
        <v/>
      </c>
      <c r="B337" s="19">
        <f>IF($C337="","",TEXTJOIN(" | ",TRUE,IF(COUNTIF('01_HO_SO'!$C$6:$C$505,$C337)=0,"Mã chưa có ở Bước 1",""),IF(COUNTIF($C$6:$C$505,$C337)&gt;1,"Trùng mã trong thông tin công việc",""),IF($D337="","Thiếu trạng thái làm việc",""),IF($E337="","Thiếu ngày vào công ty",IF(OR(NOT(ISNUMBER($E337)),$E337&gt;TODAY()),"Ngày vào công ty không hợp lệ","")),IF($G337="","Thiếu phòng ban",""),IF($I337="","Thiếu chức danh",""),IF(AND($M337&lt;&gt;"",COUNTIF('01_HO_SO'!$C$6:$C$505,$M337)=0),"Mã quản lý không tồn tại",""),IF(AND($M337&lt;&gt;"",$M337=$C337),"Không thể tự quản lý chính mình",""),IF(OR($N337&lt;0,$N337&gt;1000000000),"Lương cơ bản ngoài phạm vi","")))</f>
        <v/>
      </c>
      <c r="C337" s="20" t="n"/>
      <c r="D337" s="21" t="n"/>
      <c r="E337" s="22" t="n"/>
      <c r="F337" s="21" t="n"/>
      <c r="G337" s="21" t="n"/>
      <c r="H337" s="21" t="n"/>
      <c r="I337" s="21" t="n"/>
      <c r="J337" s="19">
        <f>IF($I337="","",IFERROR(INDEX(DANH_MUC!$D$4:$D$1000,MATCH($I337,DANH_MUC!$C$4:$C$1000,0)),""))</f>
        <v/>
      </c>
      <c r="K337" s="21" t="n"/>
      <c r="L337" s="21" t="n"/>
      <c r="M337" s="20" t="n"/>
      <c r="N337" s="23" t="n"/>
      <c r="O337" s="21" t="n"/>
    </row>
    <row r="338">
      <c r="A338" s="19">
        <f>IF($C338="","CHƯA NHẬP",IF($B338="","HỢP LỆ","LỖI"))</f>
        <v/>
      </c>
      <c r="B338" s="19">
        <f>IF($C338="","",TEXTJOIN(" | ",TRUE,IF(COUNTIF('01_HO_SO'!$C$6:$C$505,$C338)=0,"Mã chưa có ở Bước 1",""),IF(COUNTIF($C$6:$C$505,$C338)&gt;1,"Trùng mã trong thông tin công việc",""),IF($D338="","Thiếu trạng thái làm việc",""),IF($E338="","Thiếu ngày vào công ty",IF(OR(NOT(ISNUMBER($E338)),$E338&gt;TODAY()),"Ngày vào công ty không hợp lệ","")),IF($G338="","Thiếu phòng ban",""),IF($I338="","Thiếu chức danh",""),IF(AND($M338&lt;&gt;"",COUNTIF('01_HO_SO'!$C$6:$C$505,$M338)=0),"Mã quản lý không tồn tại",""),IF(AND($M338&lt;&gt;"",$M338=$C338),"Không thể tự quản lý chính mình",""),IF(OR($N338&lt;0,$N338&gt;1000000000),"Lương cơ bản ngoài phạm vi","")))</f>
        <v/>
      </c>
      <c r="C338" s="20" t="n"/>
      <c r="D338" s="21" t="n"/>
      <c r="E338" s="22" t="n"/>
      <c r="F338" s="21" t="n"/>
      <c r="G338" s="21" t="n"/>
      <c r="H338" s="21" t="n"/>
      <c r="I338" s="21" t="n"/>
      <c r="J338" s="19">
        <f>IF($I338="","",IFERROR(INDEX(DANH_MUC!$D$4:$D$1000,MATCH($I338,DANH_MUC!$C$4:$C$1000,0)),""))</f>
        <v/>
      </c>
      <c r="K338" s="21" t="n"/>
      <c r="L338" s="21" t="n"/>
      <c r="M338" s="20" t="n"/>
      <c r="N338" s="23" t="n"/>
      <c r="O338" s="21" t="n"/>
    </row>
    <row r="339">
      <c r="A339" s="19">
        <f>IF($C339="","CHƯA NHẬP",IF($B339="","HỢP LỆ","LỖI"))</f>
        <v/>
      </c>
      <c r="B339" s="19">
        <f>IF($C339="","",TEXTJOIN(" | ",TRUE,IF(COUNTIF('01_HO_SO'!$C$6:$C$505,$C339)=0,"Mã chưa có ở Bước 1",""),IF(COUNTIF($C$6:$C$505,$C339)&gt;1,"Trùng mã trong thông tin công việc",""),IF($D339="","Thiếu trạng thái làm việc",""),IF($E339="","Thiếu ngày vào công ty",IF(OR(NOT(ISNUMBER($E339)),$E339&gt;TODAY()),"Ngày vào công ty không hợp lệ","")),IF($G339="","Thiếu phòng ban",""),IF($I339="","Thiếu chức danh",""),IF(AND($M339&lt;&gt;"",COUNTIF('01_HO_SO'!$C$6:$C$505,$M339)=0),"Mã quản lý không tồn tại",""),IF(AND($M339&lt;&gt;"",$M339=$C339),"Không thể tự quản lý chính mình",""),IF(OR($N339&lt;0,$N339&gt;1000000000),"Lương cơ bản ngoài phạm vi","")))</f>
        <v/>
      </c>
      <c r="C339" s="20" t="n"/>
      <c r="D339" s="21" t="n"/>
      <c r="E339" s="22" t="n"/>
      <c r="F339" s="21" t="n"/>
      <c r="G339" s="21" t="n"/>
      <c r="H339" s="21" t="n"/>
      <c r="I339" s="21" t="n"/>
      <c r="J339" s="19">
        <f>IF($I339="","",IFERROR(INDEX(DANH_MUC!$D$4:$D$1000,MATCH($I339,DANH_MUC!$C$4:$C$1000,0)),""))</f>
        <v/>
      </c>
      <c r="K339" s="21" t="n"/>
      <c r="L339" s="21" t="n"/>
      <c r="M339" s="20" t="n"/>
      <c r="N339" s="23" t="n"/>
      <c r="O339" s="21" t="n"/>
    </row>
    <row r="340">
      <c r="A340" s="19">
        <f>IF($C340="","CHƯA NHẬP",IF($B340="","HỢP LỆ","LỖI"))</f>
        <v/>
      </c>
      <c r="B340" s="19">
        <f>IF($C340="","",TEXTJOIN(" | ",TRUE,IF(COUNTIF('01_HO_SO'!$C$6:$C$505,$C340)=0,"Mã chưa có ở Bước 1",""),IF(COUNTIF($C$6:$C$505,$C340)&gt;1,"Trùng mã trong thông tin công việc",""),IF($D340="","Thiếu trạng thái làm việc",""),IF($E340="","Thiếu ngày vào công ty",IF(OR(NOT(ISNUMBER($E340)),$E340&gt;TODAY()),"Ngày vào công ty không hợp lệ","")),IF($G340="","Thiếu phòng ban",""),IF($I340="","Thiếu chức danh",""),IF(AND($M340&lt;&gt;"",COUNTIF('01_HO_SO'!$C$6:$C$505,$M340)=0),"Mã quản lý không tồn tại",""),IF(AND($M340&lt;&gt;"",$M340=$C340),"Không thể tự quản lý chính mình",""),IF(OR($N340&lt;0,$N340&gt;1000000000),"Lương cơ bản ngoài phạm vi","")))</f>
        <v/>
      </c>
      <c r="C340" s="20" t="n"/>
      <c r="D340" s="21" t="n"/>
      <c r="E340" s="22" t="n"/>
      <c r="F340" s="21" t="n"/>
      <c r="G340" s="21" t="n"/>
      <c r="H340" s="21" t="n"/>
      <c r="I340" s="21" t="n"/>
      <c r="J340" s="19">
        <f>IF($I340="","",IFERROR(INDEX(DANH_MUC!$D$4:$D$1000,MATCH($I340,DANH_MUC!$C$4:$C$1000,0)),""))</f>
        <v/>
      </c>
      <c r="K340" s="21" t="n"/>
      <c r="L340" s="21" t="n"/>
      <c r="M340" s="20" t="n"/>
      <c r="N340" s="23" t="n"/>
      <c r="O340" s="21" t="n"/>
    </row>
    <row r="341">
      <c r="A341" s="19">
        <f>IF($C341="","CHƯA NHẬP",IF($B341="","HỢP LỆ","LỖI"))</f>
        <v/>
      </c>
      <c r="B341" s="19">
        <f>IF($C341="","",TEXTJOIN(" | ",TRUE,IF(COUNTIF('01_HO_SO'!$C$6:$C$505,$C341)=0,"Mã chưa có ở Bước 1",""),IF(COUNTIF($C$6:$C$505,$C341)&gt;1,"Trùng mã trong thông tin công việc",""),IF($D341="","Thiếu trạng thái làm việc",""),IF($E341="","Thiếu ngày vào công ty",IF(OR(NOT(ISNUMBER($E341)),$E341&gt;TODAY()),"Ngày vào công ty không hợp lệ","")),IF($G341="","Thiếu phòng ban",""),IF($I341="","Thiếu chức danh",""),IF(AND($M341&lt;&gt;"",COUNTIF('01_HO_SO'!$C$6:$C$505,$M341)=0),"Mã quản lý không tồn tại",""),IF(AND($M341&lt;&gt;"",$M341=$C341),"Không thể tự quản lý chính mình",""),IF(OR($N341&lt;0,$N341&gt;1000000000),"Lương cơ bản ngoài phạm vi","")))</f>
        <v/>
      </c>
      <c r="C341" s="20" t="n"/>
      <c r="D341" s="21" t="n"/>
      <c r="E341" s="22" t="n"/>
      <c r="F341" s="21" t="n"/>
      <c r="G341" s="21" t="n"/>
      <c r="H341" s="21" t="n"/>
      <c r="I341" s="21" t="n"/>
      <c r="J341" s="19">
        <f>IF($I341="","",IFERROR(INDEX(DANH_MUC!$D$4:$D$1000,MATCH($I341,DANH_MUC!$C$4:$C$1000,0)),""))</f>
        <v/>
      </c>
      <c r="K341" s="21" t="n"/>
      <c r="L341" s="21" t="n"/>
      <c r="M341" s="20" t="n"/>
      <c r="N341" s="23" t="n"/>
      <c r="O341" s="21" t="n"/>
    </row>
    <row r="342">
      <c r="A342" s="19">
        <f>IF($C342="","CHƯA NHẬP",IF($B342="","HỢP LỆ","LỖI"))</f>
        <v/>
      </c>
      <c r="B342" s="19">
        <f>IF($C342="","",TEXTJOIN(" | ",TRUE,IF(COUNTIF('01_HO_SO'!$C$6:$C$505,$C342)=0,"Mã chưa có ở Bước 1",""),IF(COUNTIF($C$6:$C$505,$C342)&gt;1,"Trùng mã trong thông tin công việc",""),IF($D342="","Thiếu trạng thái làm việc",""),IF($E342="","Thiếu ngày vào công ty",IF(OR(NOT(ISNUMBER($E342)),$E342&gt;TODAY()),"Ngày vào công ty không hợp lệ","")),IF($G342="","Thiếu phòng ban",""),IF($I342="","Thiếu chức danh",""),IF(AND($M342&lt;&gt;"",COUNTIF('01_HO_SO'!$C$6:$C$505,$M342)=0),"Mã quản lý không tồn tại",""),IF(AND($M342&lt;&gt;"",$M342=$C342),"Không thể tự quản lý chính mình",""),IF(OR($N342&lt;0,$N342&gt;1000000000),"Lương cơ bản ngoài phạm vi","")))</f>
        <v/>
      </c>
      <c r="C342" s="20" t="n"/>
      <c r="D342" s="21" t="n"/>
      <c r="E342" s="22" t="n"/>
      <c r="F342" s="21" t="n"/>
      <c r="G342" s="21" t="n"/>
      <c r="H342" s="21" t="n"/>
      <c r="I342" s="21" t="n"/>
      <c r="J342" s="19">
        <f>IF($I342="","",IFERROR(INDEX(DANH_MUC!$D$4:$D$1000,MATCH($I342,DANH_MUC!$C$4:$C$1000,0)),""))</f>
        <v/>
      </c>
      <c r="K342" s="21" t="n"/>
      <c r="L342" s="21" t="n"/>
      <c r="M342" s="20" t="n"/>
      <c r="N342" s="23" t="n"/>
      <c r="O342" s="21" t="n"/>
    </row>
    <row r="343">
      <c r="A343" s="19">
        <f>IF($C343="","CHƯA NHẬP",IF($B343="","HỢP LỆ","LỖI"))</f>
        <v/>
      </c>
      <c r="B343" s="19">
        <f>IF($C343="","",TEXTJOIN(" | ",TRUE,IF(COUNTIF('01_HO_SO'!$C$6:$C$505,$C343)=0,"Mã chưa có ở Bước 1",""),IF(COUNTIF($C$6:$C$505,$C343)&gt;1,"Trùng mã trong thông tin công việc",""),IF($D343="","Thiếu trạng thái làm việc",""),IF($E343="","Thiếu ngày vào công ty",IF(OR(NOT(ISNUMBER($E343)),$E343&gt;TODAY()),"Ngày vào công ty không hợp lệ","")),IF($G343="","Thiếu phòng ban",""),IF($I343="","Thiếu chức danh",""),IF(AND($M343&lt;&gt;"",COUNTIF('01_HO_SO'!$C$6:$C$505,$M343)=0),"Mã quản lý không tồn tại",""),IF(AND($M343&lt;&gt;"",$M343=$C343),"Không thể tự quản lý chính mình",""),IF(OR($N343&lt;0,$N343&gt;1000000000),"Lương cơ bản ngoài phạm vi","")))</f>
        <v/>
      </c>
      <c r="C343" s="20" t="n"/>
      <c r="D343" s="21" t="n"/>
      <c r="E343" s="22" t="n"/>
      <c r="F343" s="21" t="n"/>
      <c r="G343" s="21" t="n"/>
      <c r="H343" s="21" t="n"/>
      <c r="I343" s="21" t="n"/>
      <c r="J343" s="19">
        <f>IF($I343="","",IFERROR(INDEX(DANH_MUC!$D$4:$D$1000,MATCH($I343,DANH_MUC!$C$4:$C$1000,0)),""))</f>
        <v/>
      </c>
      <c r="K343" s="21" t="n"/>
      <c r="L343" s="21" t="n"/>
      <c r="M343" s="20" t="n"/>
      <c r="N343" s="23" t="n"/>
      <c r="O343" s="21" t="n"/>
    </row>
    <row r="344">
      <c r="A344" s="19">
        <f>IF($C344="","CHƯA NHẬP",IF($B344="","HỢP LỆ","LỖI"))</f>
        <v/>
      </c>
      <c r="B344" s="19">
        <f>IF($C344="","",TEXTJOIN(" | ",TRUE,IF(COUNTIF('01_HO_SO'!$C$6:$C$505,$C344)=0,"Mã chưa có ở Bước 1",""),IF(COUNTIF($C$6:$C$505,$C344)&gt;1,"Trùng mã trong thông tin công việc",""),IF($D344="","Thiếu trạng thái làm việc",""),IF($E344="","Thiếu ngày vào công ty",IF(OR(NOT(ISNUMBER($E344)),$E344&gt;TODAY()),"Ngày vào công ty không hợp lệ","")),IF($G344="","Thiếu phòng ban",""),IF($I344="","Thiếu chức danh",""),IF(AND($M344&lt;&gt;"",COUNTIF('01_HO_SO'!$C$6:$C$505,$M344)=0),"Mã quản lý không tồn tại",""),IF(AND($M344&lt;&gt;"",$M344=$C344),"Không thể tự quản lý chính mình",""),IF(OR($N344&lt;0,$N344&gt;1000000000),"Lương cơ bản ngoài phạm vi","")))</f>
        <v/>
      </c>
      <c r="C344" s="20" t="n"/>
      <c r="D344" s="21" t="n"/>
      <c r="E344" s="22" t="n"/>
      <c r="F344" s="21" t="n"/>
      <c r="G344" s="21" t="n"/>
      <c r="H344" s="21" t="n"/>
      <c r="I344" s="21" t="n"/>
      <c r="J344" s="19">
        <f>IF($I344="","",IFERROR(INDEX(DANH_MUC!$D$4:$D$1000,MATCH($I344,DANH_MUC!$C$4:$C$1000,0)),""))</f>
        <v/>
      </c>
      <c r="K344" s="21" t="n"/>
      <c r="L344" s="21" t="n"/>
      <c r="M344" s="20" t="n"/>
      <c r="N344" s="23" t="n"/>
      <c r="O344" s="21" t="n"/>
    </row>
    <row r="345">
      <c r="A345" s="19">
        <f>IF($C345="","CHƯA NHẬP",IF($B345="","HỢP LỆ","LỖI"))</f>
        <v/>
      </c>
      <c r="B345" s="19">
        <f>IF($C345="","",TEXTJOIN(" | ",TRUE,IF(COUNTIF('01_HO_SO'!$C$6:$C$505,$C345)=0,"Mã chưa có ở Bước 1",""),IF(COUNTIF($C$6:$C$505,$C345)&gt;1,"Trùng mã trong thông tin công việc",""),IF($D345="","Thiếu trạng thái làm việc",""),IF($E345="","Thiếu ngày vào công ty",IF(OR(NOT(ISNUMBER($E345)),$E345&gt;TODAY()),"Ngày vào công ty không hợp lệ","")),IF($G345="","Thiếu phòng ban",""),IF($I345="","Thiếu chức danh",""),IF(AND($M345&lt;&gt;"",COUNTIF('01_HO_SO'!$C$6:$C$505,$M345)=0),"Mã quản lý không tồn tại",""),IF(AND($M345&lt;&gt;"",$M345=$C345),"Không thể tự quản lý chính mình",""),IF(OR($N345&lt;0,$N345&gt;1000000000),"Lương cơ bản ngoài phạm vi","")))</f>
        <v/>
      </c>
      <c r="C345" s="20" t="n"/>
      <c r="D345" s="21" t="n"/>
      <c r="E345" s="22" t="n"/>
      <c r="F345" s="21" t="n"/>
      <c r="G345" s="21" t="n"/>
      <c r="H345" s="21" t="n"/>
      <c r="I345" s="21" t="n"/>
      <c r="J345" s="19">
        <f>IF($I345="","",IFERROR(INDEX(DANH_MUC!$D$4:$D$1000,MATCH($I345,DANH_MUC!$C$4:$C$1000,0)),""))</f>
        <v/>
      </c>
      <c r="K345" s="21" t="n"/>
      <c r="L345" s="21" t="n"/>
      <c r="M345" s="20" t="n"/>
      <c r="N345" s="23" t="n"/>
      <c r="O345" s="21" t="n"/>
    </row>
    <row r="346">
      <c r="A346" s="19">
        <f>IF($C346="","CHƯA NHẬP",IF($B346="","HỢP LỆ","LỖI"))</f>
        <v/>
      </c>
      <c r="B346" s="19">
        <f>IF($C346="","",TEXTJOIN(" | ",TRUE,IF(COUNTIF('01_HO_SO'!$C$6:$C$505,$C346)=0,"Mã chưa có ở Bước 1",""),IF(COUNTIF($C$6:$C$505,$C346)&gt;1,"Trùng mã trong thông tin công việc",""),IF($D346="","Thiếu trạng thái làm việc",""),IF($E346="","Thiếu ngày vào công ty",IF(OR(NOT(ISNUMBER($E346)),$E346&gt;TODAY()),"Ngày vào công ty không hợp lệ","")),IF($G346="","Thiếu phòng ban",""),IF($I346="","Thiếu chức danh",""),IF(AND($M346&lt;&gt;"",COUNTIF('01_HO_SO'!$C$6:$C$505,$M346)=0),"Mã quản lý không tồn tại",""),IF(AND($M346&lt;&gt;"",$M346=$C346),"Không thể tự quản lý chính mình",""),IF(OR($N346&lt;0,$N346&gt;1000000000),"Lương cơ bản ngoài phạm vi","")))</f>
        <v/>
      </c>
      <c r="C346" s="20" t="n"/>
      <c r="D346" s="21" t="n"/>
      <c r="E346" s="22" t="n"/>
      <c r="F346" s="21" t="n"/>
      <c r="G346" s="21" t="n"/>
      <c r="H346" s="21" t="n"/>
      <c r="I346" s="21" t="n"/>
      <c r="J346" s="19">
        <f>IF($I346="","",IFERROR(INDEX(DANH_MUC!$D$4:$D$1000,MATCH($I346,DANH_MUC!$C$4:$C$1000,0)),""))</f>
        <v/>
      </c>
      <c r="K346" s="21" t="n"/>
      <c r="L346" s="21" t="n"/>
      <c r="M346" s="20" t="n"/>
      <c r="N346" s="23" t="n"/>
      <c r="O346" s="21" t="n"/>
    </row>
    <row r="347">
      <c r="A347" s="19">
        <f>IF($C347="","CHƯA NHẬP",IF($B347="","HỢP LỆ","LỖI"))</f>
        <v/>
      </c>
      <c r="B347" s="19">
        <f>IF($C347="","",TEXTJOIN(" | ",TRUE,IF(COUNTIF('01_HO_SO'!$C$6:$C$505,$C347)=0,"Mã chưa có ở Bước 1",""),IF(COUNTIF($C$6:$C$505,$C347)&gt;1,"Trùng mã trong thông tin công việc",""),IF($D347="","Thiếu trạng thái làm việc",""),IF($E347="","Thiếu ngày vào công ty",IF(OR(NOT(ISNUMBER($E347)),$E347&gt;TODAY()),"Ngày vào công ty không hợp lệ","")),IF($G347="","Thiếu phòng ban",""),IF($I347="","Thiếu chức danh",""),IF(AND($M347&lt;&gt;"",COUNTIF('01_HO_SO'!$C$6:$C$505,$M347)=0),"Mã quản lý không tồn tại",""),IF(AND($M347&lt;&gt;"",$M347=$C347),"Không thể tự quản lý chính mình",""),IF(OR($N347&lt;0,$N347&gt;1000000000),"Lương cơ bản ngoài phạm vi","")))</f>
        <v/>
      </c>
      <c r="C347" s="20" t="n"/>
      <c r="D347" s="21" t="n"/>
      <c r="E347" s="22" t="n"/>
      <c r="F347" s="21" t="n"/>
      <c r="G347" s="21" t="n"/>
      <c r="H347" s="21" t="n"/>
      <c r="I347" s="21" t="n"/>
      <c r="J347" s="19">
        <f>IF($I347="","",IFERROR(INDEX(DANH_MUC!$D$4:$D$1000,MATCH($I347,DANH_MUC!$C$4:$C$1000,0)),""))</f>
        <v/>
      </c>
      <c r="K347" s="21" t="n"/>
      <c r="L347" s="21" t="n"/>
      <c r="M347" s="20" t="n"/>
      <c r="N347" s="23" t="n"/>
      <c r="O347" s="21" t="n"/>
    </row>
    <row r="348">
      <c r="A348" s="19">
        <f>IF($C348="","CHƯA NHẬP",IF($B348="","HỢP LỆ","LỖI"))</f>
        <v/>
      </c>
      <c r="B348" s="19">
        <f>IF($C348="","",TEXTJOIN(" | ",TRUE,IF(COUNTIF('01_HO_SO'!$C$6:$C$505,$C348)=0,"Mã chưa có ở Bước 1",""),IF(COUNTIF($C$6:$C$505,$C348)&gt;1,"Trùng mã trong thông tin công việc",""),IF($D348="","Thiếu trạng thái làm việc",""),IF($E348="","Thiếu ngày vào công ty",IF(OR(NOT(ISNUMBER($E348)),$E348&gt;TODAY()),"Ngày vào công ty không hợp lệ","")),IF($G348="","Thiếu phòng ban",""),IF($I348="","Thiếu chức danh",""),IF(AND($M348&lt;&gt;"",COUNTIF('01_HO_SO'!$C$6:$C$505,$M348)=0),"Mã quản lý không tồn tại",""),IF(AND($M348&lt;&gt;"",$M348=$C348),"Không thể tự quản lý chính mình",""),IF(OR($N348&lt;0,$N348&gt;1000000000),"Lương cơ bản ngoài phạm vi","")))</f>
        <v/>
      </c>
      <c r="C348" s="20" t="n"/>
      <c r="D348" s="21" t="n"/>
      <c r="E348" s="22" t="n"/>
      <c r="F348" s="21" t="n"/>
      <c r="G348" s="21" t="n"/>
      <c r="H348" s="21" t="n"/>
      <c r="I348" s="21" t="n"/>
      <c r="J348" s="19">
        <f>IF($I348="","",IFERROR(INDEX(DANH_MUC!$D$4:$D$1000,MATCH($I348,DANH_MUC!$C$4:$C$1000,0)),""))</f>
        <v/>
      </c>
      <c r="K348" s="21" t="n"/>
      <c r="L348" s="21" t="n"/>
      <c r="M348" s="20" t="n"/>
      <c r="N348" s="23" t="n"/>
      <c r="O348" s="21" t="n"/>
    </row>
    <row r="349">
      <c r="A349" s="19">
        <f>IF($C349="","CHƯA NHẬP",IF($B349="","HỢP LỆ","LỖI"))</f>
        <v/>
      </c>
      <c r="B349" s="19">
        <f>IF($C349="","",TEXTJOIN(" | ",TRUE,IF(COUNTIF('01_HO_SO'!$C$6:$C$505,$C349)=0,"Mã chưa có ở Bước 1",""),IF(COUNTIF($C$6:$C$505,$C349)&gt;1,"Trùng mã trong thông tin công việc",""),IF($D349="","Thiếu trạng thái làm việc",""),IF($E349="","Thiếu ngày vào công ty",IF(OR(NOT(ISNUMBER($E349)),$E349&gt;TODAY()),"Ngày vào công ty không hợp lệ","")),IF($G349="","Thiếu phòng ban",""),IF($I349="","Thiếu chức danh",""),IF(AND($M349&lt;&gt;"",COUNTIF('01_HO_SO'!$C$6:$C$505,$M349)=0),"Mã quản lý không tồn tại",""),IF(AND($M349&lt;&gt;"",$M349=$C349),"Không thể tự quản lý chính mình",""),IF(OR($N349&lt;0,$N349&gt;1000000000),"Lương cơ bản ngoài phạm vi","")))</f>
        <v/>
      </c>
      <c r="C349" s="20" t="n"/>
      <c r="D349" s="21" t="n"/>
      <c r="E349" s="22" t="n"/>
      <c r="F349" s="21" t="n"/>
      <c r="G349" s="21" t="n"/>
      <c r="H349" s="21" t="n"/>
      <c r="I349" s="21" t="n"/>
      <c r="J349" s="19">
        <f>IF($I349="","",IFERROR(INDEX(DANH_MUC!$D$4:$D$1000,MATCH($I349,DANH_MUC!$C$4:$C$1000,0)),""))</f>
        <v/>
      </c>
      <c r="K349" s="21" t="n"/>
      <c r="L349" s="21" t="n"/>
      <c r="M349" s="20" t="n"/>
      <c r="N349" s="23" t="n"/>
      <c r="O349" s="21" t="n"/>
    </row>
    <row r="350">
      <c r="A350" s="19">
        <f>IF($C350="","CHƯA NHẬP",IF($B350="","HỢP LỆ","LỖI"))</f>
        <v/>
      </c>
      <c r="B350" s="19">
        <f>IF($C350="","",TEXTJOIN(" | ",TRUE,IF(COUNTIF('01_HO_SO'!$C$6:$C$505,$C350)=0,"Mã chưa có ở Bước 1",""),IF(COUNTIF($C$6:$C$505,$C350)&gt;1,"Trùng mã trong thông tin công việc",""),IF($D350="","Thiếu trạng thái làm việc",""),IF($E350="","Thiếu ngày vào công ty",IF(OR(NOT(ISNUMBER($E350)),$E350&gt;TODAY()),"Ngày vào công ty không hợp lệ","")),IF($G350="","Thiếu phòng ban",""),IF($I350="","Thiếu chức danh",""),IF(AND($M350&lt;&gt;"",COUNTIF('01_HO_SO'!$C$6:$C$505,$M350)=0),"Mã quản lý không tồn tại",""),IF(AND($M350&lt;&gt;"",$M350=$C350),"Không thể tự quản lý chính mình",""),IF(OR($N350&lt;0,$N350&gt;1000000000),"Lương cơ bản ngoài phạm vi","")))</f>
        <v/>
      </c>
      <c r="C350" s="20" t="n"/>
      <c r="D350" s="21" t="n"/>
      <c r="E350" s="22" t="n"/>
      <c r="F350" s="21" t="n"/>
      <c r="G350" s="21" t="n"/>
      <c r="H350" s="21" t="n"/>
      <c r="I350" s="21" t="n"/>
      <c r="J350" s="19">
        <f>IF($I350="","",IFERROR(INDEX(DANH_MUC!$D$4:$D$1000,MATCH($I350,DANH_MUC!$C$4:$C$1000,0)),""))</f>
        <v/>
      </c>
      <c r="K350" s="21" t="n"/>
      <c r="L350" s="21" t="n"/>
      <c r="M350" s="20" t="n"/>
      <c r="N350" s="23" t="n"/>
      <c r="O350" s="21" t="n"/>
    </row>
    <row r="351">
      <c r="A351" s="19">
        <f>IF($C351="","CHƯA NHẬP",IF($B351="","HỢP LỆ","LỖI"))</f>
        <v/>
      </c>
      <c r="B351" s="19">
        <f>IF($C351="","",TEXTJOIN(" | ",TRUE,IF(COUNTIF('01_HO_SO'!$C$6:$C$505,$C351)=0,"Mã chưa có ở Bước 1",""),IF(COUNTIF($C$6:$C$505,$C351)&gt;1,"Trùng mã trong thông tin công việc",""),IF($D351="","Thiếu trạng thái làm việc",""),IF($E351="","Thiếu ngày vào công ty",IF(OR(NOT(ISNUMBER($E351)),$E351&gt;TODAY()),"Ngày vào công ty không hợp lệ","")),IF($G351="","Thiếu phòng ban",""),IF($I351="","Thiếu chức danh",""),IF(AND($M351&lt;&gt;"",COUNTIF('01_HO_SO'!$C$6:$C$505,$M351)=0),"Mã quản lý không tồn tại",""),IF(AND($M351&lt;&gt;"",$M351=$C351),"Không thể tự quản lý chính mình",""),IF(OR($N351&lt;0,$N351&gt;1000000000),"Lương cơ bản ngoài phạm vi","")))</f>
        <v/>
      </c>
      <c r="C351" s="20" t="n"/>
      <c r="D351" s="21" t="n"/>
      <c r="E351" s="22" t="n"/>
      <c r="F351" s="21" t="n"/>
      <c r="G351" s="21" t="n"/>
      <c r="H351" s="21" t="n"/>
      <c r="I351" s="21" t="n"/>
      <c r="J351" s="19">
        <f>IF($I351="","",IFERROR(INDEX(DANH_MUC!$D$4:$D$1000,MATCH($I351,DANH_MUC!$C$4:$C$1000,0)),""))</f>
        <v/>
      </c>
      <c r="K351" s="21" t="n"/>
      <c r="L351" s="21" t="n"/>
      <c r="M351" s="20" t="n"/>
      <c r="N351" s="23" t="n"/>
      <c r="O351" s="21" t="n"/>
    </row>
    <row r="352">
      <c r="A352" s="19">
        <f>IF($C352="","CHƯA NHẬP",IF($B352="","HỢP LỆ","LỖI"))</f>
        <v/>
      </c>
      <c r="B352" s="19">
        <f>IF($C352="","",TEXTJOIN(" | ",TRUE,IF(COUNTIF('01_HO_SO'!$C$6:$C$505,$C352)=0,"Mã chưa có ở Bước 1",""),IF(COUNTIF($C$6:$C$505,$C352)&gt;1,"Trùng mã trong thông tin công việc",""),IF($D352="","Thiếu trạng thái làm việc",""),IF($E352="","Thiếu ngày vào công ty",IF(OR(NOT(ISNUMBER($E352)),$E352&gt;TODAY()),"Ngày vào công ty không hợp lệ","")),IF($G352="","Thiếu phòng ban",""),IF($I352="","Thiếu chức danh",""),IF(AND($M352&lt;&gt;"",COUNTIF('01_HO_SO'!$C$6:$C$505,$M352)=0),"Mã quản lý không tồn tại",""),IF(AND($M352&lt;&gt;"",$M352=$C352),"Không thể tự quản lý chính mình",""),IF(OR($N352&lt;0,$N352&gt;1000000000),"Lương cơ bản ngoài phạm vi","")))</f>
        <v/>
      </c>
      <c r="C352" s="20" t="n"/>
      <c r="D352" s="21" t="n"/>
      <c r="E352" s="22" t="n"/>
      <c r="F352" s="21" t="n"/>
      <c r="G352" s="21" t="n"/>
      <c r="H352" s="21" t="n"/>
      <c r="I352" s="21" t="n"/>
      <c r="J352" s="19">
        <f>IF($I352="","",IFERROR(INDEX(DANH_MUC!$D$4:$D$1000,MATCH($I352,DANH_MUC!$C$4:$C$1000,0)),""))</f>
        <v/>
      </c>
      <c r="K352" s="21" t="n"/>
      <c r="L352" s="21" t="n"/>
      <c r="M352" s="20" t="n"/>
      <c r="N352" s="23" t="n"/>
      <c r="O352" s="21" t="n"/>
    </row>
    <row r="353">
      <c r="A353" s="19">
        <f>IF($C353="","CHƯA NHẬP",IF($B353="","HỢP LỆ","LỖI"))</f>
        <v/>
      </c>
      <c r="B353" s="19">
        <f>IF($C353="","",TEXTJOIN(" | ",TRUE,IF(COUNTIF('01_HO_SO'!$C$6:$C$505,$C353)=0,"Mã chưa có ở Bước 1",""),IF(COUNTIF($C$6:$C$505,$C353)&gt;1,"Trùng mã trong thông tin công việc",""),IF($D353="","Thiếu trạng thái làm việc",""),IF($E353="","Thiếu ngày vào công ty",IF(OR(NOT(ISNUMBER($E353)),$E353&gt;TODAY()),"Ngày vào công ty không hợp lệ","")),IF($G353="","Thiếu phòng ban",""),IF($I353="","Thiếu chức danh",""),IF(AND($M353&lt;&gt;"",COUNTIF('01_HO_SO'!$C$6:$C$505,$M353)=0),"Mã quản lý không tồn tại",""),IF(AND($M353&lt;&gt;"",$M353=$C353),"Không thể tự quản lý chính mình",""),IF(OR($N353&lt;0,$N353&gt;1000000000),"Lương cơ bản ngoài phạm vi","")))</f>
        <v/>
      </c>
      <c r="C353" s="20" t="n"/>
      <c r="D353" s="21" t="n"/>
      <c r="E353" s="22" t="n"/>
      <c r="F353" s="21" t="n"/>
      <c r="G353" s="21" t="n"/>
      <c r="H353" s="21" t="n"/>
      <c r="I353" s="21" t="n"/>
      <c r="J353" s="19">
        <f>IF($I353="","",IFERROR(INDEX(DANH_MUC!$D$4:$D$1000,MATCH($I353,DANH_MUC!$C$4:$C$1000,0)),""))</f>
        <v/>
      </c>
      <c r="K353" s="21" t="n"/>
      <c r="L353" s="21" t="n"/>
      <c r="M353" s="20" t="n"/>
      <c r="N353" s="23" t="n"/>
      <c r="O353" s="21" t="n"/>
    </row>
    <row r="354">
      <c r="A354" s="19">
        <f>IF($C354="","CHƯA NHẬP",IF($B354="","HỢP LỆ","LỖI"))</f>
        <v/>
      </c>
      <c r="B354" s="19">
        <f>IF($C354="","",TEXTJOIN(" | ",TRUE,IF(COUNTIF('01_HO_SO'!$C$6:$C$505,$C354)=0,"Mã chưa có ở Bước 1",""),IF(COUNTIF($C$6:$C$505,$C354)&gt;1,"Trùng mã trong thông tin công việc",""),IF($D354="","Thiếu trạng thái làm việc",""),IF($E354="","Thiếu ngày vào công ty",IF(OR(NOT(ISNUMBER($E354)),$E354&gt;TODAY()),"Ngày vào công ty không hợp lệ","")),IF($G354="","Thiếu phòng ban",""),IF($I354="","Thiếu chức danh",""),IF(AND($M354&lt;&gt;"",COUNTIF('01_HO_SO'!$C$6:$C$505,$M354)=0),"Mã quản lý không tồn tại",""),IF(AND($M354&lt;&gt;"",$M354=$C354),"Không thể tự quản lý chính mình",""),IF(OR($N354&lt;0,$N354&gt;1000000000),"Lương cơ bản ngoài phạm vi","")))</f>
        <v/>
      </c>
      <c r="C354" s="20" t="n"/>
      <c r="D354" s="21" t="n"/>
      <c r="E354" s="22" t="n"/>
      <c r="F354" s="21" t="n"/>
      <c r="G354" s="21" t="n"/>
      <c r="H354" s="21" t="n"/>
      <c r="I354" s="21" t="n"/>
      <c r="J354" s="19">
        <f>IF($I354="","",IFERROR(INDEX(DANH_MUC!$D$4:$D$1000,MATCH($I354,DANH_MUC!$C$4:$C$1000,0)),""))</f>
        <v/>
      </c>
      <c r="K354" s="21" t="n"/>
      <c r="L354" s="21" t="n"/>
      <c r="M354" s="20" t="n"/>
      <c r="N354" s="23" t="n"/>
      <c r="O354" s="21" t="n"/>
    </row>
    <row r="355">
      <c r="A355" s="19">
        <f>IF($C355="","CHƯA NHẬP",IF($B355="","HỢP LỆ","LỖI"))</f>
        <v/>
      </c>
      <c r="B355" s="19">
        <f>IF($C355="","",TEXTJOIN(" | ",TRUE,IF(COUNTIF('01_HO_SO'!$C$6:$C$505,$C355)=0,"Mã chưa có ở Bước 1",""),IF(COUNTIF($C$6:$C$505,$C355)&gt;1,"Trùng mã trong thông tin công việc",""),IF($D355="","Thiếu trạng thái làm việc",""),IF($E355="","Thiếu ngày vào công ty",IF(OR(NOT(ISNUMBER($E355)),$E355&gt;TODAY()),"Ngày vào công ty không hợp lệ","")),IF($G355="","Thiếu phòng ban",""),IF($I355="","Thiếu chức danh",""),IF(AND($M355&lt;&gt;"",COUNTIF('01_HO_SO'!$C$6:$C$505,$M355)=0),"Mã quản lý không tồn tại",""),IF(AND($M355&lt;&gt;"",$M355=$C355),"Không thể tự quản lý chính mình",""),IF(OR($N355&lt;0,$N355&gt;1000000000),"Lương cơ bản ngoài phạm vi","")))</f>
        <v/>
      </c>
      <c r="C355" s="20" t="n"/>
      <c r="D355" s="21" t="n"/>
      <c r="E355" s="22" t="n"/>
      <c r="F355" s="21" t="n"/>
      <c r="G355" s="21" t="n"/>
      <c r="H355" s="21" t="n"/>
      <c r="I355" s="21" t="n"/>
      <c r="J355" s="19">
        <f>IF($I355="","",IFERROR(INDEX(DANH_MUC!$D$4:$D$1000,MATCH($I355,DANH_MUC!$C$4:$C$1000,0)),""))</f>
        <v/>
      </c>
      <c r="K355" s="21" t="n"/>
      <c r="L355" s="21" t="n"/>
      <c r="M355" s="20" t="n"/>
      <c r="N355" s="23" t="n"/>
      <c r="O355" s="21" t="n"/>
    </row>
    <row r="356">
      <c r="A356" s="19">
        <f>IF($C356="","CHƯA NHẬP",IF($B356="","HỢP LỆ","LỖI"))</f>
        <v/>
      </c>
      <c r="B356" s="19">
        <f>IF($C356="","",TEXTJOIN(" | ",TRUE,IF(COUNTIF('01_HO_SO'!$C$6:$C$505,$C356)=0,"Mã chưa có ở Bước 1",""),IF(COUNTIF($C$6:$C$505,$C356)&gt;1,"Trùng mã trong thông tin công việc",""),IF($D356="","Thiếu trạng thái làm việc",""),IF($E356="","Thiếu ngày vào công ty",IF(OR(NOT(ISNUMBER($E356)),$E356&gt;TODAY()),"Ngày vào công ty không hợp lệ","")),IF($G356="","Thiếu phòng ban",""),IF($I356="","Thiếu chức danh",""),IF(AND($M356&lt;&gt;"",COUNTIF('01_HO_SO'!$C$6:$C$505,$M356)=0),"Mã quản lý không tồn tại",""),IF(AND($M356&lt;&gt;"",$M356=$C356),"Không thể tự quản lý chính mình",""),IF(OR($N356&lt;0,$N356&gt;1000000000),"Lương cơ bản ngoài phạm vi","")))</f>
        <v/>
      </c>
      <c r="C356" s="20" t="n"/>
      <c r="D356" s="21" t="n"/>
      <c r="E356" s="22" t="n"/>
      <c r="F356" s="21" t="n"/>
      <c r="G356" s="21" t="n"/>
      <c r="H356" s="21" t="n"/>
      <c r="I356" s="21" t="n"/>
      <c r="J356" s="19">
        <f>IF($I356="","",IFERROR(INDEX(DANH_MUC!$D$4:$D$1000,MATCH($I356,DANH_MUC!$C$4:$C$1000,0)),""))</f>
        <v/>
      </c>
      <c r="K356" s="21" t="n"/>
      <c r="L356" s="21" t="n"/>
      <c r="M356" s="20" t="n"/>
      <c r="N356" s="23" t="n"/>
      <c r="O356" s="21" t="n"/>
    </row>
    <row r="357">
      <c r="A357" s="19">
        <f>IF($C357="","CHƯA NHẬP",IF($B357="","HỢP LỆ","LỖI"))</f>
        <v/>
      </c>
      <c r="B357" s="19">
        <f>IF($C357="","",TEXTJOIN(" | ",TRUE,IF(COUNTIF('01_HO_SO'!$C$6:$C$505,$C357)=0,"Mã chưa có ở Bước 1",""),IF(COUNTIF($C$6:$C$505,$C357)&gt;1,"Trùng mã trong thông tin công việc",""),IF($D357="","Thiếu trạng thái làm việc",""),IF($E357="","Thiếu ngày vào công ty",IF(OR(NOT(ISNUMBER($E357)),$E357&gt;TODAY()),"Ngày vào công ty không hợp lệ","")),IF($G357="","Thiếu phòng ban",""),IF($I357="","Thiếu chức danh",""),IF(AND($M357&lt;&gt;"",COUNTIF('01_HO_SO'!$C$6:$C$505,$M357)=0),"Mã quản lý không tồn tại",""),IF(AND($M357&lt;&gt;"",$M357=$C357),"Không thể tự quản lý chính mình",""),IF(OR($N357&lt;0,$N357&gt;1000000000),"Lương cơ bản ngoài phạm vi","")))</f>
        <v/>
      </c>
      <c r="C357" s="20" t="n"/>
      <c r="D357" s="21" t="n"/>
      <c r="E357" s="22" t="n"/>
      <c r="F357" s="21" t="n"/>
      <c r="G357" s="21" t="n"/>
      <c r="H357" s="21" t="n"/>
      <c r="I357" s="21" t="n"/>
      <c r="J357" s="19">
        <f>IF($I357="","",IFERROR(INDEX(DANH_MUC!$D$4:$D$1000,MATCH($I357,DANH_MUC!$C$4:$C$1000,0)),""))</f>
        <v/>
      </c>
      <c r="K357" s="21" t="n"/>
      <c r="L357" s="21" t="n"/>
      <c r="M357" s="20" t="n"/>
      <c r="N357" s="23" t="n"/>
      <c r="O357" s="21" t="n"/>
    </row>
    <row r="358">
      <c r="A358" s="19">
        <f>IF($C358="","CHƯA NHẬP",IF($B358="","HỢP LỆ","LỖI"))</f>
        <v/>
      </c>
      <c r="B358" s="19">
        <f>IF($C358="","",TEXTJOIN(" | ",TRUE,IF(COUNTIF('01_HO_SO'!$C$6:$C$505,$C358)=0,"Mã chưa có ở Bước 1",""),IF(COUNTIF($C$6:$C$505,$C358)&gt;1,"Trùng mã trong thông tin công việc",""),IF($D358="","Thiếu trạng thái làm việc",""),IF($E358="","Thiếu ngày vào công ty",IF(OR(NOT(ISNUMBER($E358)),$E358&gt;TODAY()),"Ngày vào công ty không hợp lệ","")),IF($G358="","Thiếu phòng ban",""),IF($I358="","Thiếu chức danh",""),IF(AND($M358&lt;&gt;"",COUNTIF('01_HO_SO'!$C$6:$C$505,$M358)=0),"Mã quản lý không tồn tại",""),IF(AND($M358&lt;&gt;"",$M358=$C358),"Không thể tự quản lý chính mình",""),IF(OR($N358&lt;0,$N358&gt;1000000000),"Lương cơ bản ngoài phạm vi","")))</f>
        <v/>
      </c>
      <c r="C358" s="20" t="n"/>
      <c r="D358" s="21" t="n"/>
      <c r="E358" s="22" t="n"/>
      <c r="F358" s="21" t="n"/>
      <c r="G358" s="21" t="n"/>
      <c r="H358" s="21" t="n"/>
      <c r="I358" s="21" t="n"/>
      <c r="J358" s="19">
        <f>IF($I358="","",IFERROR(INDEX(DANH_MUC!$D$4:$D$1000,MATCH($I358,DANH_MUC!$C$4:$C$1000,0)),""))</f>
        <v/>
      </c>
      <c r="K358" s="21" t="n"/>
      <c r="L358" s="21" t="n"/>
      <c r="M358" s="20" t="n"/>
      <c r="N358" s="23" t="n"/>
      <c r="O358" s="21" t="n"/>
    </row>
    <row r="359">
      <c r="A359" s="19">
        <f>IF($C359="","CHƯA NHẬP",IF($B359="","HỢP LỆ","LỖI"))</f>
        <v/>
      </c>
      <c r="B359" s="19">
        <f>IF($C359="","",TEXTJOIN(" | ",TRUE,IF(COUNTIF('01_HO_SO'!$C$6:$C$505,$C359)=0,"Mã chưa có ở Bước 1",""),IF(COUNTIF($C$6:$C$505,$C359)&gt;1,"Trùng mã trong thông tin công việc",""),IF($D359="","Thiếu trạng thái làm việc",""),IF($E359="","Thiếu ngày vào công ty",IF(OR(NOT(ISNUMBER($E359)),$E359&gt;TODAY()),"Ngày vào công ty không hợp lệ","")),IF($G359="","Thiếu phòng ban",""),IF($I359="","Thiếu chức danh",""),IF(AND($M359&lt;&gt;"",COUNTIF('01_HO_SO'!$C$6:$C$505,$M359)=0),"Mã quản lý không tồn tại",""),IF(AND($M359&lt;&gt;"",$M359=$C359),"Không thể tự quản lý chính mình",""),IF(OR($N359&lt;0,$N359&gt;1000000000),"Lương cơ bản ngoài phạm vi","")))</f>
        <v/>
      </c>
      <c r="C359" s="20" t="n"/>
      <c r="D359" s="21" t="n"/>
      <c r="E359" s="22" t="n"/>
      <c r="F359" s="21" t="n"/>
      <c r="G359" s="21" t="n"/>
      <c r="H359" s="21" t="n"/>
      <c r="I359" s="21" t="n"/>
      <c r="J359" s="19">
        <f>IF($I359="","",IFERROR(INDEX(DANH_MUC!$D$4:$D$1000,MATCH($I359,DANH_MUC!$C$4:$C$1000,0)),""))</f>
        <v/>
      </c>
      <c r="K359" s="21" t="n"/>
      <c r="L359" s="21" t="n"/>
      <c r="M359" s="20" t="n"/>
      <c r="N359" s="23" t="n"/>
      <c r="O359" s="21" t="n"/>
    </row>
    <row r="360">
      <c r="A360" s="19">
        <f>IF($C360="","CHƯA NHẬP",IF($B360="","HỢP LỆ","LỖI"))</f>
        <v/>
      </c>
      <c r="B360" s="19">
        <f>IF($C360="","",TEXTJOIN(" | ",TRUE,IF(COUNTIF('01_HO_SO'!$C$6:$C$505,$C360)=0,"Mã chưa có ở Bước 1",""),IF(COUNTIF($C$6:$C$505,$C360)&gt;1,"Trùng mã trong thông tin công việc",""),IF($D360="","Thiếu trạng thái làm việc",""),IF($E360="","Thiếu ngày vào công ty",IF(OR(NOT(ISNUMBER($E360)),$E360&gt;TODAY()),"Ngày vào công ty không hợp lệ","")),IF($G360="","Thiếu phòng ban",""),IF($I360="","Thiếu chức danh",""),IF(AND($M360&lt;&gt;"",COUNTIF('01_HO_SO'!$C$6:$C$505,$M360)=0),"Mã quản lý không tồn tại",""),IF(AND($M360&lt;&gt;"",$M360=$C360),"Không thể tự quản lý chính mình",""),IF(OR($N360&lt;0,$N360&gt;1000000000),"Lương cơ bản ngoài phạm vi","")))</f>
        <v/>
      </c>
      <c r="C360" s="20" t="n"/>
      <c r="D360" s="21" t="n"/>
      <c r="E360" s="22" t="n"/>
      <c r="F360" s="21" t="n"/>
      <c r="G360" s="21" t="n"/>
      <c r="H360" s="21" t="n"/>
      <c r="I360" s="21" t="n"/>
      <c r="J360" s="19">
        <f>IF($I360="","",IFERROR(INDEX(DANH_MUC!$D$4:$D$1000,MATCH($I360,DANH_MUC!$C$4:$C$1000,0)),""))</f>
        <v/>
      </c>
      <c r="K360" s="21" t="n"/>
      <c r="L360" s="21" t="n"/>
      <c r="M360" s="20" t="n"/>
      <c r="N360" s="23" t="n"/>
      <c r="O360" s="21" t="n"/>
    </row>
    <row r="361">
      <c r="A361" s="19">
        <f>IF($C361="","CHƯA NHẬP",IF($B361="","HỢP LỆ","LỖI"))</f>
        <v/>
      </c>
      <c r="B361" s="19">
        <f>IF($C361="","",TEXTJOIN(" | ",TRUE,IF(COUNTIF('01_HO_SO'!$C$6:$C$505,$C361)=0,"Mã chưa có ở Bước 1",""),IF(COUNTIF($C$6:$C$505,$C361)&gt;1,"Trùng mã trong thông tin công việc",""),IF($D361="","Thiếu trạng thái làm việc",""),IF($E361="","Thiếu ngày vào công ty",IF(OR(NOT(ISNUMBER($E361)),$E361&gt;TODAY()),"Ngày vào công ty không hợp lệ","")),IF($G361="","Thiếu phòng ban",""),IF($I361="","Thiếu chức danh",""),IF(AND($M361&lt;&gt;"",COUNTIF('01_HO_SO'!$C$6:$C$505,$M361)=0),"Mã quản lý không tồn tại",""),IF(AND($M361&lt;&gt;"",$M361=$C361),"Không thể tự quản lý chính mình",""),IF(OR($N361&lt;0,$N361&gt;1000000000),"Lương cơ bản ngoài phạm vi","")))</f>
        <v/>
      </c>
      <c r="C361" s="20" t="n"/>
      <c r="D361" s="21" t="n"/>
      <c r="E361" s="22" t="n"/>
      <c r="F361" s="21" t="n"/>
      <c r="G361" s="21" t="n"/>
      <c r="H361" s="21" t="n"/>
      <c r="I361" s="21" t="n"/>
      <c r="J361" s="19">
        <f>IF($I361="","",IFERROR(INDEX(DANH_MUC!$D$4:$D$1000,MATCH($I361,DANH_MUC!$C$4:$C$1000,0)),""))</f>
        <v/>
      </c>
      <c r="K361" s="21" t="n"/>
      <c r="L361" s="21" t="n"/>
      <c r="M361" s="20" t="n"/>
      <c r="N361" s="23" t="n"/>
      <c r="O361" s="21" t="n"/>
    </row>
    <row r="362">
      <c r="A362" s="19">
        <f>IF($C362="","CHƯA NHẬP",IF($B362="","HỢP LỆ","LỖI"))</f>
        <v/>
      </c>
      <c r="B362" s="19">
        <f>IF($C362="","",TEXTJOIN(" | ",TRUE,IF(COUNTIF('01_HO_SO'!$C$6:$C$505,$C362)=0,"Mã chưa có ở Bước 1",""),IF(COUNTIF($C$6:$C$505,$C362)&gt;1,"Trùng mã trong thông tin công việc",""),IF($D362="","Thiếu trạng thái làm việc",""),IF($E362="","Thiếu ngày vào công ty",IF(OR(NOT(ISNUMBER($E362)),$E362&gt;TODAY()),"Ngày vào công ty không hợp lệ","")),IF($G362="","Thiếu phòng ban",""),IF($I362="","Thiếu chức danh",""),IF(AND($M362&lt;&gt;"",COUNTIF('01_HO_SO'!$C$6:$C$505,$M362)=0),"Mã quản lý không tồn tại",""),IF(AND($M362&lt;&gt;"",$M362=$C362),"Không thể tự quản lý chính mình",""),IF(OR($N362&lt;0,$N362&gt;1000000000),"Lương cơ bản ngoài phạm vi","")))</f>
        <v/>
      </c>
      <c r="C362" s="20" t="n"/>
      <c r="D362" s="21" t="n"/>
      <c r="E362" s="22" t="n"/>
      <c r="F362" s="21" t="n"/>
      <c r="G362" s="21" t="n"/>
      <c r="H362" s="21" t="n"/>
      <c r="I362" s="21" t="n"/>
      <c r="J362" s="19">
        <f>IF($I362="","",IFERROR(INDEX(DANH_MUC!$D$4:$D$1000,MATCH($I362,DANH_MUC!$C$4:$C$1000,0)),""))</f>
        <v/>
      </c>
      <c r="K362" s="21" t="n"/>
      <c r="L362" s="21" t="n"/>
      <c r="M362" s="20" t="n"/>
      <c r="N362" s="23" t="n"/>
      <c r="O362" s="21" t="n"/>
    </row>
    <row r="363">
      <c r="A363" s="19">
        <f>IF($C363="","CHƯA NHẬP",IF($B363="","HỢP LỆ","LỖI"))</f>
        <v/>
      </c>
      <c r="B363" s="19">
        <f>IF($C363="","",TEXTJOIN(" | ",TRUE,IF(COUNTIF('01_HO_SO'!$C$6:$C$505,$C363)=0,"Mã chưa có ở Bước 1",""),IF(COUNTIF($C$6:$C$505,$C363)&gt;1,"Trùng mã trong thông tin công việc",""),IF($D363="","Thiếu trạng thái làm việc",""),IF($E363="","Thiếu ngày vào công ty",IF(OR(NOT(ISNUMBER($E363)),$E363&gt;TODAY()),"Ngày vào công ty không hợp lệ","")),IF($G363="","Thiếu phòng ban",""),IF($I363="","Thiếu chức danh",""),IF(AND($M363&lt;&gt;"",COUNTIF('01_HO_SO'!$C$6:$C$505,$M363)=0),"Mã quản lý không tồn tại",""),IF(AND($M363&lt;&gt;"",$M363=$C363),"Không thể tự quản lý chính mình",""),IF(OR($N363&lt;0,$N363&gt;1000000000),"Lương cơ bản ngoài phạm vi","")))</f>
        <v/>
      </c>
      <c r="C363" s="20" t="n"/>
      <c r="D363" s="21" t="n"/>
      <c r="E363" s="22" t="n"/>
      <c r="F363" s="21" t="n"/>
      <c r="G363" s="21" t="n"/>
      <c r="H363" s="21" t="n"/>
      <c r="I363" s="21" t="n"/>
      <c r="J363" s="19">
        <f>IF($I363="","",IFERROR(INDEX(DANH_MUC!$D$4:$D$1000,MATCH($I363,DANH_MUC!$C$4:$C$1000,0)),""))</f>
        <v/>
      </c>
      <c r="K363" s="21" t="n"/>
      <c r="L363" s="21" t="n"/>
      <c r="M363" s="20" t="n"/>
      <c r="N363" s="23" t="n"/>
      <c r="O363" s="21" t="n"/>
    </row>
    <row r="364">
      <c r="A364" s="19">
        <f>IF($C364="","CHƯA NHẬP",IF($B364="","HỢP LỆ","LỖI"))</f>
        <v/>
      </c>
      <c r="B364" s="19">
        <f>IF($C364="","",TEXTJOIN(" | ",TRUE,IF(COUNTIF('01_HO_SO'!$C$6:$C$505,$C364)=0,"Mã chưa có ở Bước 1",""),IF(COUNTIF($C$6:$C$505,$C364)&gt;1,"Trùng mã trong thông tin công việc",""),IF($D364="","Thiếu trạng thái làm việc",""),IF($E364="","Thiếu ngày vào công ty",IF(OR(NOT(ISNUMBER($E364)),$E364&gt;TODAY()),"Ngày vào công ty không hợp lệ","")),IF($G364="","Thiếu phòng ban",""),IF($I364="","Thiếu chức danh",""),IF(AND($M364&lt;&gt;"",COUNTIF('01_HO_SO'!$C$6:$C$505,$M364)=0),"Mã quản lý không tồn tại",""),IF(AND($M364&lt;&gt;"",$M364=$C364),"Không thể tự quản lý chính mình",""),IF(OR($N364&lt;0,$N364&gt;1000000000),"Lương cơ bản ngoài phạm vi","")))</f>
        <v/>
      </c>
      <c r="C364" s="20" t="n"/>
      <c r="D364" s="21" t="n"/>
      <c r="E364" s="22" t="n"/>
      <c r="F364" s="21" t="n"/>
      <c r="G364" s="21" t="n"/>
      <c r="H364" s="21" t="n"/>
      <c r="I364" s="21" t="n"/>
      <c r="J364" s="19">
        <f>IF($I364="","",IFERROR(INDEX(DANH_MUC!$D$4:$D$1000,MATCH($I364,DANH_MUC!$C$4:$C$1000,0)),""))</f>
        <v/>
      </c>
      <c r="K364" s="21" t="n"/>
      <c r="L364" s="21" t="n"/>
      <c r="M364" s="20" t="n"/>
      <c r="N364" s="23" t="n"/>
      <c r="O364" s="21" t="n"/>
    </row>
    <row r="365">
      <c r="A365" s="19">
        <f>IF($C365="","CHƯA NHẬP",IF($B365="","HỢP LỆ","LỖI"))</f>
        <v/>
      </c>
      <c r="B365" s="19">
        <f>IF($C365="","",TEXTJOIN(" | ",TRUE,IF(COUNTIF('01_HO_SO'!$C$6:$C$505,$C365)=0,"Mã chưa có ở Bước 1",""),IF(COUNTIF($C$6:$C$505,$C365)&gt;1,"Trùng mã trong thông tin công việc",""),IF($D365="","Thiếu trạng thái làm việc",""),IF($E365="","Thiếu ngày vào công ty",IF(OR(NOT(ISNUMBER($E365)),$E365&gt;TODAY()),"Ngày vào công ty không hợp lệ","")),IF($G365="","Thiếu phòng ban",""),IF($I365="","Thiếu chức danh",""),IF(AND($M365&lt;&gt;"",COUNTIF('01_HO_SO'!$C$6:$C$505,$M365)=0),"Mã quản lý không tồn tại",""),IF(AND($M365&lt;&gt;"",$M365=$C365),"Không thể tự quản lý chính mình",""),IF(OR($N365&lt;0,$N365&gt;1000000000),"Lương cơ bản ngoài phạm vi","")))</f>
        <v/>
      </c>
      <c r="C365" s="20" t="n"/>
      <c r="D365" s="21" t="n"/>
      <c r="E365" s="22" t="n"/>
      <c r="F365" s="21" t="n"/>
      <c r="G365" s="21" t="n"/>
      <c r="H365" s="21" t="n"/>
      <c r="I365" s="21" t="n"/>
      <c r="J365" s="19">
        <f>IF($I365="","",IFERROR(INDEX(DANH_MUC!$D$4:$D$1000,MATCH($I365,DANH_MUC!$C$4:$C$1000,0)),""))</f>
        <v/>
      </c>
      <c r="K365" s="21" t="n"/>
      <c r="L365" s="21" t="n"/>
      <c r="M365" s="20" t="n"/>
      <c r="N365" s="23" t="n"/>
      <c r="O365" s="21" t="n"/>
    </row>
    <row r="366">
      <c r="A366" s="19">
        <f>IF($C366="","CHƯA NHẬP",IF($B366="","HỢP LỆ","LỖI"))</f>
        <v/>
      </c>
      <c r="B366" s="19">
        <f>IF($C366="","",TEXTJOIN(" | ",TRUE,IF(COUNTIF('01_HO_SO'!$C$6:$C$505,$C366)=0,"Mã chưa có ở Bước 1",""),IF(COUNTIF($C$6:$C$505,$C366)&gt;1,"Trùng mã trong thông tin công việc",""),IF($D366="","Thiếu trạng thái làm việc",""),IF($E366="","Thiếu ngày vào công ty",IF(OR(NOT(ISNUMBER($E366)),$E366&gt;TODAY()),"Ngày vào công ty không hợp lệ","")),IF($G366="","Thiếu phòng ban",""),IF($I366="","Thiếu chức danh",""),IF(AND($M366&lt;&gt;"",COUNTIF('01_HO_SO'!$C$6:$C$505,$M366)=0),"Mã quản lý không tồn tại",""),IF(AND($M366&lt;&gt;"",$M366=$C366),"Không thể tự quản lý chính mình",""),IF(OR($N366&lt;0,$N366&gt;1000000000),"Lương cơ bản ngoài phạm vi","")))</f>
        <v/>
      </c>
      <c r="C366" s="20" t="n"/>
      <c r="D366" s="21" t="n"/>
      <c r="E366" s="22" t="n"/>
      <c r="F366" s="21" t="n"/>
      <c r="G366" s="21" t="n"/>
      <c r="H366" s="21" t="n"/>
      <c r="I366" s="21" t="n"/>
      <c r="J366" s="19">
        <f>IF($I366="","",IFERROR(INDEX(DANH_MUC!$D$4:$D$1000,MATCH($I366,DANH_MUC!$C$4:$C$1000,0)),""))</f>
        <v/>
      </c>
      <c r="K366" s="21" t="n"/>
      <c r="L366" s="21" t="n"/>
      <c r="M366" s="20" t="n"/>
      <c r="N366" s="23" t="n"/>
      <c r="O366" s="21" t="n"/>
    </row>
    <row r="367">
      <c r="A367" s="19">
        <f>IF($C367="","CHƯA NHẬP",IF($B367="","HỢP LỆ","LỖI"))</f>
        <v/>
      </c>
      <c r="B367" s="19">
        <f>IF($C367="","",TEXTJOIN(" | ",TRUE,IF(COUNTIF('01_HO_SO'!$C$6:$C$505,$C367)=0,"Mã chưa có ở Bước 1",""),IF(COUNTIF($C$6:$C$505,$C367)&gt;1,"Trùng mã trong thông tin công việc",""),IF($D367="","Thiếu trạng thái làm việc",""),IF($E367="","Thiếu ngày vào công ty",IF(OR(NOT(ISNUMBER($E367)),$E367&gt;TODAY()),"Ngày vào công ty không hợp lệ","")),IF($G367="","Thiếu phòng ban",""),IF($I367="","Thiếu chức danh",""),IF(AND($M367&lt;&gt;"",COUNTIF('01_HO_SO'!$C$6:$C$505,$M367)=0),"Mã quản lý không tồn tại",""),IF(AND($M367&lt;&gt;"",$M367=$C367),"Không thể tự quản lý chính mình",""),IF(OR($N367&lt;0,$N367&gt;1000000000),"Lương cơ bản ngoài phạm vi","")))</f>
        <v/>
      </c>
      <c r="C367" s="20" t="n"/>
      <c r="D367" s="21" t="n"/>
      <c r="E367" s="22" t="n"/>
      <c r="F367" s="21" t="n"/>
      <c r="G367" s="21" t="n"/>
      <c r="H367" s="21" t="n"/>
      <c r="I367" s="21" t="n"/>
      <c r="J367" s="19">
        <f>IF($I367="","",IFERROR(INDEX(DANH_MUC!$D$4:$D$1000,MATCH($I367,DANH_MUC!$C$4:$C$1000,0)),""))</f>
        <v/>
      </c>
      <c r="K367" s="21" t="n"/>
      <c r="L367" s="21" t="n"/>
      <c r="M367" s="20" t="n"/>
      <c r="N367" s="23" t="n"/>
      <c r="O367" s="21" t="n"/>
    </row>
    <row r="368">
      <c r="A368" s="19">
        <f>IF($C368="","CHƯA NHẬP",IF($B368="","HỢP LỆ","LỖI"))</f>
        <v/>
      </c>
      <c r="B368" s="19">
        <f>IF($C368="","",TEXTJOIN(" | ",TRUE,IF(COUNTIF('01_HO_SO'!$C$6:$C$505,$C368)=0,"Mã chưa có ở Bước 1",""),IF(COUNTIF($C$6:$C$505,$C368)&gt;1,"Trùng mã trong thông tin công việc",""),IF($D368="","Thiếu trạng thái làm việc",""),IF($E368="","Thiếu ngày vào công ty",IF(OR(NOT(ISNUMBER($E368)),$E368&gt;TODAY()),"Ngày vào công ty không hợp lệ","")),IF($G368="","Thiếu phòng ban",""),IF($I368="","Thiếu chức danh",""),IF(AND($M368&lt;&gt;"",COUNTIF('01_HO_SO'!$C$6:$C$505,$M368)=0),"Mã quản lý không tồn tại",""),IF(AND($M368&lt;&gt;"",$M368=$C368),"Không thể tự quản lý chính mình",""),IF(OR($N368&lt;0,$N368&gt;1000000000),"Lương cơ bản ngoài phạm vi","")))</f>
        <v/>
      </c>
      <c r="C368" s="20" t="n"/>
      <c r="D368" s="21" t="n"/>
      <c r="E368" s="22" t="n"/>
      <c r="F368" s="21" t="n"/>
      <c r="G368" s="21" t="n"/>
      <c r="H368" s="21" t="n"/>
      <c r="I368" s="21" t="n"/>
      <c r="J368" s="19">
        <f>IF($I368="","",IFERROR(INDEX(DANH_MUC!$D$4:$D$1000,MATCH($I368,DANH_MUC!$C$4:$C$1000,0)),""))</f>
        <v/>
      </c>
      <c r="K368" s="21" t="n"/>
      <c r="L368" s="21" t="n"/>
      <c r="M368" s="20" t="n"/>
      <c r="N368" s="23" t="n"/>
      <c r="O368" s="21" t="n"/>
    </row>
    <row r="369">
      <c r="A369" s="19">
        <f>IF($C369="","CHƯA NHẬP",IF($B369="","HỢP LỆ","LỖI"))</f>
        <v/>
      </c>
      <c r="B369" s="19">
        <f>IF($C369="","",TEXTJOIN(" | ",TRUE,IF(COUNTIF('01_HO_SO'!$C$6:$C$505,$C369)=0,"Mã chưa có ở Bước 1",""),IF(COUNTIF($C$6:$C$505,$C369)&gt;1,"Trùng mã trong thông tin công việc",""),IF($D369="","Thiếu trạng thái làm việc",""),IF($E369="","Thiếu ngày vào công ty",IF(OR(NOT(ISNUMBER($E369)),$E369&gt;TODAY()),"Ngày vào công ty không hợp lệ","")),IF($G369="","Thiếu phòng ban",""),IF($I369="","Thiếu chức danh",""),IF(AND($M369&lt;&gt;"",COUNTIF('01_HO_SO'!$C$6:$C$505,$M369)=0),"Mã quản lý không tồn tại",""),IF(AND($M369&lt;&gt;"",$M369=$C369),"Không thể tự quản lý chính mình",""),IF(OR($N369&lt;0,$N369&gt;1000000000),"Lương cơ bản ngoài phạm vi","")))</f>
        <v/>
      </c>
      <c r="C369" s="20" t="n"/>
      <c r="D369" s="21" t="n"/>
      <c r="E369" s="22" t="n"/>
      <c r="F369" s="21" t="n"/>
      <c r="G369" s="21" t="n"/>
      <c r="H369" s="21" t="n"/>
      <c r="I369" s="21" t="n"/>
      <c r="J369" s="19">
        <f>IF($I369="","",IFERROR(INDEX(DANH_MUC!$D$4:$D$1000,MATCH($I369,DANH_MUC!$C$4:$C$1000,0)),""))</f>
        <v/>
      </c>
      <c r="K369" s="21" t="n"/>
      <c r="L369" s="21" t="n"/>
      <c r="M369" s="20" t="n"/>
      <c r="N369" s="23" t="n"/>
      <c r="O369" s="21" t="n"/>
    </row>
    <row r="370">
      <c r="A370" s="19">
        <f>IF($C370="","CHƯA NHẬP",IF($B370="","HỢP LỆ","LỖI"))</f>
        <v/>
      </c>
      <c r="B370" s="19">
        <f>IF($C370="","",TEXTJOIN(" | ",TRUE,IF(COUNTIF('01_HO_SO'!$C$6:$C$505,$C370)=0,"Mã chưa có ở Bước 1",""),IF(COUNTIF($C$6:$C$505,$C370)&gt;1,"Trùng mã trong thông tin công việc",""),IF($D370="","Thiếu trạng thái làm việc",""),IF($E370="","Thiếu ngày vào công ty",IF(OR(NOT(ISNUMBER($E370)),$E370&gt;TODAY()),"Ngày vào công ty không hợp lệ","")),IF($G370="","Thiếu phòng ban",""),IF($I370="","Thiếu chức danh",""),IF(AND($M370&lt;&gt;"",COUNTIF('01_HO_SO'!$C$6:$C$505,$M370)=0),"Mã quản lý không tồn tại",""),IF(AND($M370&lt;&gt;"",$M370=$C370),"Không thể tự quản lý chính mình",""),IF(OR($N370&lt;0,$N370&gt;1000000000),"Lương cơ bản ngoài phạm vi","")))</f>
        <v/>
      </c>
      <c r="C370" s="20" t="n"/>
      <c r="D370" s="21" t="n"/>
      <c r="E370" s="22" t="n"/>
      <c r="F370" s="21" t="n"/>
      <c r="G370" s="21" t="n"/>
      <c r="H370" s="21" t="n"/>
      <c r="I370" s="21" t="n"/>
      <c r="J370" s="19">
        <f>IF($I370="","",IFERROR(INDEX(DANH_MUC!$D$4:$D$1000,MATCH($I370,DANH_MUC!$C$4:$C$1000,0)),""))</f>
        <v/>
      </c>
      <c r="K370" s="21" t="n"/>
      <c r="L370" s="21" t="n"/>
      <c r="M370" s="20" t="n"/>
      <c r="N370" s="23" t="n"/>
      <c r="O370" s="21" t="n"/>
    </row>
    <row r="371">
      <c r="A371" s="19">
        <f>IF($C371="","CHƯA NHẬP",IF($B371="","HỢP LỆ","LỖI"))</f>
        <v/>
      </c>
      <c r="B371" s="19">
        <f>IF($C371="","",TEXTJOIN(" | ",TRUE,IF(COUNTIF('01_HO_SO'!$C$6:$C$505,$C371)=0,"Mã chưa có ở Bước 1",""),IF(COUNTIF($C$6:$C$505,$C371)&gt;1,"Trùng mã trong thông tin công việc",""),IF($D371="","Thiếu trạng thái làm việc",""),IF($E371="","Thiếu ngày vào công ty",IF(OR(NOT(ISNUMBER($E371)),$E371&gt;TODAY()),"Ngày vào công ty không hợp lệ","")),IF($G371="","Thiếu phòng ban",""),IF($I371="","Thiếu chức danh",""),IF(AND($M371&lt;&gt;"",COUNTIF('01_HO_SO'!$C$6:$C$505,$M371)=0),"Mã quản lý không tồn tại",""),IF(AND($M371&lt;&gt;"",$M371=$C371),"Không thể tự quản lý chính mình",""),IF(OR($N371&lt;0,$N371&gt;1000000000),"Lương cơ bản ngoài phạm vi","")))</f>
        <v/>
      </c>
      <c r="C371" s="20" t="n"/>
      <c r="D371" s="21" t="n"/>
      <c r="E371" s="22" t="n"/>
      <c r="F371" s="21" t="n"/>
      <c r="G371" s="21" t="n"/>
      <c r="H371" s="21" t="n"/>
      <c r="I371" s="21" t="n"/>
      <c r="J371" s="19">
        <f>IF($I371="","",IFERROR(INDEX(DANH_MUC!$D$4:$D$1000,MATCH($I371,DANH_MUC!$C$4:$C$1000,0)),""))</f>
        <v/>
      </c>
      <c r="K371" s="21" t="n"/>
      <c r="L371" s="21" t="n"/>
      <c r="M371" s="20" t="n"/>
      <c r="N371" s="23" t="n"/>
      <c r="O371" s="21" t="n"/>
    </row>
    <row r="372">
      <c r="A372" s="19">
        <f>IF($C372="","CHƯA NHẬP",IF($B372="","HỢP LỆ","LỖI"))</f>
        <v/>
      </c>
      <c r="B372" s="19">
        <f>IF($C372="","",TEXTJOIN(" | ",TRUE,IF(COUNTIF('01_HO_SO'!$C$6:$C$505,$C372)=0,"Mã chưa có ở Bước 1",""),IF(COUNTIF($C$6:$C$505,$C372)&gt;1,"Trùng mã trong thông tin công việc",""),IF($D372="","Thiếu trạng thái làm việc",""),IF($E372="","Thiếu ngày vào công ty",IF(OR(NOT(ISNUMBER($E372)),$E372&gt;TODAY()),"Ngày vào công ty không hợp lệ","")),IF($G372="","Thiếu phòng ban",""),IF($I372="","Thiếu chức danh",""),IF(AND($M372&lt;&gt;"",COUNTIF('01_HO_SO'!$C$6:$C$505,$M372)=0),"Mã quản lý không tồn tại",""),IF(AND($M372&lt;&gt;"",$M372=$C372),"Không thể tự quản lý chính mình",""),IF(OR($N372&lt;0,$N372&gt;1000000000),"Lương cơ bản ngoài phạm vi","")))</f>
        <v/>
      </c>
      <c r="C372" s="20" t="n"/>
      <c r="D372" s="21" t="n"/>
      <c r="E372" s="22" t="n"/>
      <c r="F372" s="21" t="n"/>
      <c r="G372" s="21" t="n"/>
      <c r="H372" s="21" t="n"/>
      <c r="I372" s="21" t="n"/>
      <c r="J372" s="19">
        <f>IF($I372="","",IFERROR(INDEX(DANH_MUC!$D$4:$D$1000,MATCH($I372,DANH_MUC!$C$4:$C$1000,0)),""))</f>
        <v/>
      </c>
      <c r="K372" s="21" t="n"/>
      <c r="L372" s="21" t="n"/>
      <c r="M372" s="20" t="n"/>
      <c r="N372" s="23" t="n"/>
      <c r="O372" s="21" t="n"/>
    </row>
    <row r="373">
      <c r="A373" s="19">
        <f>IF($C373="","CHƯA NHẬP",IF($B373="","HỢP LỆ","LỖI"))</f>
        <v/>
      </c>
      <c r="B373" s="19">
        <f>IF($C373="","",TEXTJOIN(" | ",TRUE,IF(COUNTIF('01_HO_SO'!$C$6:$C$505,$C373)=0,"Mã chưa có ở Bước 1",""),IF(COUNTIF($C$6:$C$505,$C373)&gt;1,"Trùng mã trong thông tin công việc",""),IF($D373="","Thiếu trạng thái làm việc",""),IF($E373="","Thiếu ngày vào công ty",IF(OR(NOT(ISNUMBER($E373)),$E373&gt;TODAY()),"Ngày vào công ty không hợp lệ","")),IF($G373="","Thiếu phòng ban",""),IF($I373="","Thiếu chức danh",""),IF(AND($M373&lt;&gt;"",COUNTIF('01_HO_SO'!$C$6:$C$505,$M373)=0),"Mã quản lý không tồn tại",""),IF(AND($M373&lt;&gt;"",$M373=$C373),"Không thể tự quản lý chính mình",""),IF(OR($N373&lt;0,$N373&gt;1000000000),"Lương cơ bản ngoài phạm vi","")))</f>
        <v/>
      </c>
      <c r="C373" s="20" t="n"/>
      <c r="D373" s="21" t="n"/>
      <c r="E373" s="22" t="n"/>
      <c r="F373" s="21" t="n"/>
      <c r="G373" s="21" t="n"/>
      <c r="H373" s="21" t="n"/>
      <c r="I373" s="21" t="n"/>
      <c r="J373" s="19">
        <f>IF($I373="","",IFERROR(INDEX(DANH_MUC!$D$4:$D$1000,MATCH($I373,DANH_MUC!$C$4:$C$1000,0)),""))</f>
        <v/>
      </c>
      <c r="K373" s="21" t="n"/>
      <c r="L373" s="21" t="n"/>
      <c r="M373" s="20" t="n"/>
      <c r="N373" s="23" t="n"/>
      <c r="O373" s="21" t="n"/>
    </row>
    <row r="374">
      <c r="A374" s="19">
        <f>IF($C374="","CHƯA NHẬP",IF($B374="","HỢP LỆ","LỖI"))</f>
        <v/>
      </c>
      <c r="B374" s="19">
        <f>IF($C374="","",TEXTJOIN(" | ",TRUE,IF(COUNTIF('01_HO_SO'!$C$6:$C$505,$C374)=0,"Mã chưa có ở Bước 1",""),IF(COUNTIF($C$6:$C$505,$C374)&gt;1,"Trùng mã trong thông tin công việc",""),IF($D374="","Thiếu trạng thái làm việc",""),IF($E374="","Thiếu ngày vào công ty",IF(OR(NOT(ISNUMBER($E374)),$E374&gt;TODAY()),"Ngày vào công ty không hợp lệ","")),IF($G374="","Thiếu phòng ban",""),IF($I374="","Thiếu chức danh",""),IF(AND($M374&lt;&gt;"",COUNTIF('01_HO_SO'!$C$6:$C$505,$M374)=0),"Mã quản lý không tồn tại",""),IF(AND($M374&lt;&gt;"",$M374=$C374),"Không thể tự quản lý chính mình",""),IF(OR($N374&lt;0,$N374&gt;1000000000),"Lương cơ bản ngoài phạm vi","")))</f>
        <v/>
      </c>
      <c r="C374" s="20" t="n"/>
      <c r="D374" s="21" t="n"/>
      <c r="E374" s="22" t="n"/>
      <c r="F374" s="21" t="n"/>
      <c r="G374" s="21" t="n"/>
      <c r="H374" s="21" t="n"/>
      <c r="I374" s="21" t="n"/>
      <c r="J374" s="19">
        <f>IF($I374="","",IFERROR(INDEX(DANH_MUC!$D$4:$D$1000,MATCH($I374,DANH_MUC!$C$4:$C$1000,0)),""))</f>
        <v/>
      </c>
      <c r="K374" s="21" t="n"/>
      <c r="L374" s="21" t="n"/>
      <c r="M374" s="20" t="n"/>
      <c r="N374" s="23" t="n"/>
      <c r="O374" s="21" t="n"/>
    </row>
    <row r="375">
      <c r="A375" s="19">
        <f>IF($C375="","CHƯA NHẬP",IF($B375="","HỢP LỆ","LỖI"))</f>
        <v/>
      </c>
      <c r="B375" s="19">
        <f>IF($C375="","",TEXTJOIN(" | ",TRUE,IF(COUNTIF('01_HO_SO'!$C$6:$C$505,$C375)=0,"Mã chưa có ở Bước 1",""),IF(COUNTIF($C$6:$C$505,$C375)&gt;1,"Trùng mã trong thông tin công việc",""),IF($D375="","Thiếu trạng thái làm việc",""),IF($E375="","Thiếu ngày vào công ty",IF(OR(NOT(ISNUMBER($E375)),$E375&gt;TODAY()),"Ngày vào công ty không hợp lệ","")),IF($G375="","Thiếu phòng ban",""),IF($I375="","Thiếu chức danh",""),IF(AND($M375&lt;&gt;"",COUNTIF('01_HO_SO'!$C$6:$C$505,$M375)=0),"Mã quản lý không tồn tại",""),IF(AND($M375&lt;&gt;"",$M375=$C375),"Không thể tự quản lý chính mình",""),IF(OR($N375&lt;0,$N375&gt;1000000000),"Lương cơ bản ngoài phạm vi","")))</f>
        <v/>
      </c>
      <c r="C375" s="20" t="n"/>
      <c r="D375" s="21" t="n"/>
      <c r="E375" s="22" t="n"/>
      <c r="F375" s="21" t="n"/>
      <c r="G375" s="21" t="n"/>
      <c r="H375" s="21" t="n"/>
      <c r="I375" s="21" t="n"/>
      <c r="J375" s="19">
        <f>IF($I375="","",IFERROR(INDEX(DANH_MUC!$D$4:$D$1000,MATCH($I375,DANH_MUC!$C$4:$C$1000,0)),""))</f>
        <v/>
      </c>
      <c r="K375" s="21" t="n"/>
      <c r="L375" s="21" t="n"/>
      <c r="M375" s="20" t="n"/>
      <c r="N375" s="23" t="n"/>
      <c r="O375" s="21" t="n"/>
    </row>
    <row r="376">
      <c r="A376" s="19">
        <f>IF($C376="","CHƯA NHẬP",IF($B376="","HỢP LỆ","LỖI"))</f>
        <v/>
      </c>
      <c r="B376" s="19">
        <f>IF($C376="","",TEXTJOIN(" | ",TRUE,IF(COUNTIF('01_HO_SO'!$C$6:$C$505,$C376)=0,"Mã chưa có ở Bước 1",""),IF(COUNTIF($C$6:$C$505,$C376)&gt;1,"Trùng mã trong thông tin công việc",""),IF($D376="","Thiếu trạng thái làm việc",""),IF($E376="","Thiếu ngày vào công ty",IF(OR(NOT(ISNUMBER($E376)),$E376&gt;TODAY()),"Ngày vào công ty không hợp lệ","")),IF($G376="","Thiếu phòng ban",""),IF($I376="","Thiếu chức danh",""),IF(AND($M376&lt;&gt;"",COUNTIF('01_HO_SO'!$C$6:$C$505,$M376)=0),"Mã quản lý không tồn tại",""),IF(AND($M376&lt;&gt;"",$M376=$C376),"Không thể tự quản lý chính mình",""),IF(OR($N376&lt;0,$N376&gt;1000000000),"Lương cơ bản ngoài phạm vi","")))</f>
        <v/>
      </c>
      <c r="C376" s="20" t="n"/>
      <c r="D376" s="21" t="n"/>
      <c r="E376" s="22" t="n"/>
      <c r="F376" s="21" t="n"/>
      <c r="G376" s="21" t="n"/>
      <c r="H376" s="21" t="n"/>
      <c r="I376" s="21" t="n"/>
      <c r="J376" s="19">
        <f>IF($I376="","",IFERROR(INDEX(DANH_MUC!$D$4:$D$1000,MATCH($I376,DANH_MUC!$C$4:$C$1000,0)),""))</f>
        <v/>
      </c>
      <c r="K376" s="21" t="n"/>
      <c r="L376" s="21" t="n"/>
      <c r="M376" s="20" t="n"/>
      <c r="N376" s="23" t="n"/>
      <c r="O376" s="21" t="n"/>
    </row>
    <row r="377">
      <c r="A377" s="19">
        <f>IF($C377="","CHƯA NHẬP",IF($B377="","HỢP LỆ","LỖI"))</f>
        <v/>
      </c>
      <c r="B377" s="19">
        <f>IF($C377="","",TEXTJOIN(" | ",TRUE,IF(COUNTIF('01_HO_SO'!$C$6:$C$505,$C377)=0,"Mã chưa có ở Bước 1",""),IF(COUNTIF($C$6:$C$505,$C377)&gt;1,"Trùng mã trong thông tin công việc",""),IF($D377="","Thiếu trạng thái làm việc",""),IF($E377="","Thiếu ngày vào công ty",IF(OR(NOT(ISNUMBER($E377)),$E377&gt;TODAY()),"Ngày vào công ty không hợp lệ","")),IF($G377="","Thiếu phòng ban",""),IF($I377="","Thiếu chức danh",""),IF(AND($M377&lt;&gt;"",COUNTIF('01_HO_SO'!$C$6:$C$505,$M377)=0),"Mã quản lý không tồn tại",""),IF(AND($M377&lt;&gt;"",$M377=$C377),"Không thể tự quản lý chính mình",""),IF(OR($N377&lt;0,$N377&gt;1000000000),"Lương cơ bản ngoài phạm vi","")))</f>
        <v/>
      </c>
      <c r="C377" s="20" t="n"/>
      <c r="D377" s="21" t="n"/>
      <c r="E377" s="22" t="n"/>
      <c r="F377" s="21" t="n"/>
      <c r="G377" s="21" t="n"/>
      <c r="H377" s="21" t="n"/>
      <c r="I377" s="21" t="n"/>
      <c r="J377" s="19">
        <f>IF($I377="","",IFERROR(INDEX(DANH_MUC!$D$4:$D$1000,MATCH($I377,DANH_MUC!$C$4:$C$1000,0)),""))</f>
        <v/>
      </c>
      <c r="K377" s="21" t="n"/>
      <c r="L377" s="21" t="n"/>
      <c r="M377" s="20" t="n"/>
      <c r="N377" s="23" t="n"/>
      <c r="O377" s="21" t="n"/>
    </row>
    <row r="378">
      <c r="A378" s="19">
        <f>IF($C378="","CHƯA NHẬP",IF($B378="","HỢP LỆ","LỖI"))</f>
        <v/>
      </c>
      <c r="B378" s="19">
        <f>IF($C378="","",TEXTJOIN(" | ",TRUE,IF(COUNTIF('01_HO_SO'!$C$6:$C$505,$C378)=0,"Mã chưa có ở Bước 1",""),IF(COUNTIF($C$6:$C$505,$C378)&gt;1,"Trùng mã trong thông tin công việc",""),IF($D378="","Thiếu trạng thái làm việc",""),IF($E378="","Thiếu ngày vào công ty",IF(OR(NOT(ISNUMBER($E378)),$E378&gt;TODAY()),"Ngày vào công ty không hợp lệ","")),IF($G378="","Thiếu phòng ban",""),IF($I378="","Thiếu chức danh",""),IF(AND($M378&lt;&gt;"",COUNTIF('01_HO_SO'!$C$6:$C$505,$M378)=0),"Mã quản lý không tồn tại",""),IF(AND($M378&lt;&gt;"",$M378=$C378),"Không thể tự quản lý chính mình",""),IF(OR($N378&lt;0,$N378&gt;1000000000),"Lương cơ bản ngoài phạm vi","")))</f>
        <v/>
      </c>
      <c r="C378" s="20" t="n"/>
      <c r="D378" s="21" t="n"/>
      <c r="E378" s="22" t="n"/>
      <c r="F378" s="21" t="n"/>
      <c r="G378" s="21" t="n"/>
      <c r="H378" s="21" t="n"/>
      <c r="I378" s="21" t="n"/>
      <c r="J378" s="19">
        <f>IF($I378="","",IFERROR(INDEX(DANH_MUC!$D$4:$D$1000,MATCH($I378,DANH_MUC!$C$4:$C$1000,0)),""))</f>
        <v/>
      </c>
      <c r="K378" s="21" t="n"/>
      <c r="L378" s="21" t="n"/>
      <c r="M378" s="20" t="n"/>
      <c r="N378" s="23" t="n"/>
      <c r="O378" s="21" t="n"/>
    </row>
    <row r="379">
      <c r="A379" s="19">
        <f>IF($C379="","CHƯA NHẬP",IF($B379="","HỢP LỆ","LỖI"))</f>
        <v/>
      </c>
      <c r="B379" s="19">
        <f>IF($C379="","",TEXTJOIN(" | ",TRUE,IF(COUNTIF('01_HO_SO'!$C$6:$C$505,$C379)=0,"Mã chưa có ở Bước 1",""),IF(COUNTIF($C$6:$C$505,$C379)&gt;1,"Trùng mã trong thông tin công việc",""),IF($D379="","Thiếu trạng thái làm việc",""),IF($E379="","Thiếu ngày vào công ty",IF(OR(NOT(ISNUMBER($E379)),$E379&gt;TODAY()),"Ngày vào công ty không hợp lệ","")),IF($G379="","Thiếu phòng ban",""),IF($I379="","Thiếu chức danh",""),IF(AND($M379&lt;&gt;"",COUNTIF('01_HO_SO'!$C$6:$C$505,$M379)=0),"Mã quản lý không tồn tại",""),IF(AND($M379&lt;&gt;"",$M379=$C379),"Không thể tự quản lý chính mình",""),IF(OR($N379&lt;0,$N379&gt;1000000000),"Lương cơ bản ngoài phạm vi","")))</f>
        <v/>
      </c>
      <c r="C379" s="20" t="n"/>
      <c r="D379" s="21" t="n"/>
      <c r="E379" s="22" t="n"/>
      <c r="F379" s="21" t="n"/>
      <c r="G379" s="21" t="n"/>
      <c r="H379" s="21" t="n"/>
      <c r="I379" s="21" t="n"/>
      <c r="J379" s="19">
        <f>IF($I379="","",IFERROR(INDEX(DANH_MUC!$D$4:$D$1000,MATCH($I379,DANH_MUC!$C$4:$C$1000,0)),""))</f>
        <v/>
      </c>
      <c r="K379" s="21" t="n"/>
      <c r="L379" s="21" t="n"/>
      <c r="M379" s="20" t="n"/>
      <c r="N379" s="23" t="n"/>
      <c r="O379" s="21" t="n"/>
    </row>
    <row r="380">
      <c r="A380" s="19">
        <f>IF($C380="","CHƯA NHẬP",IF($B380="","HỢP LỆ","LỖI"))</f>
        <v/>
      </c>
      <c r="B380" s="19">
        <f>IF($C380="","",TEXTJOIN(" | ",TRUE,IF(COUNTIF('01_HO_SO'!$C$6:$C$505,$C380)=0,"Mã chưa có ở Bước 1",""),IF(COUNTIF($C$6:$C$505,$C380)&gt;1,"Trùng mã trong thông tin công việc",""),IF($D380="","Thiếu trạng thái làm việc",""),IF($E380="","Thiếu ngày vào công ty",IF(OR(NOT(ISNUMBER($E380)),$E380&gt;TODAY()),"Ngày vào công ty không hợp lệ","")),IF($G380="","Thiếu phòng ban",""),IF($I380="","Thiếu chức danh",""),IF(AND($M380&lt;&gt;"",COUNTIF('01_HO_SO'!$C$6:$C$505,$M380)=0),"Mã quản lý không tồn tại",""),IF(AND($M380&lt;&gt;"",$M380=$C380),"Không thể tự quản lý chính mình",""),IF(OR($N380&lt;0,$N380&gt;1000000000),"Lương cơ bản ngoài phạm vi","")))</f>
        <v/>
      </c>
      <c r="C380" s="20" t="n"/>
      <c r="D380" s="21" t="n"/>
      <c r="E380" s="22" t="n"/>
      <c r="F380" s="21" t="n"/>
      <c r="G380" s="21" t="n"/>
      <c r="H380" s="21" t="n"/>
      <c r="I380" s="21" t="n"/>
      <c r="J380" s="19">
        <f>IF($I380="","",IFERROR(INDEX(DANH_MUC!$D$4:$D$1000,MATCH($I380,DANH_MUC!$C$4:$C$1000,0)),""))</f>
        <v/>
      </c>
      <c r="K380" s="21" t="n"/>
      <c r="L380" s="21" t="n"/>
      <c r="M380" s="20" t="n"/>
      <c r="N380" s="23" t="n"/>
      <c r="O380" s="21" t="n"/>
    </row>
    <row r="381">
      <c r="A381" s="19">
        <f>IF($C381="","CHƯA NHẬP",IF($B381="","HỢP LỆ","LỖI"))</f>
        <v/>
      </c>
      <c r="B381" s="19">
        <f>IF($C381="","",TEXTJOIN(" | ",TRUE,IF(COUNTIF('01_HO_SO'!$C$6:$C$505,$C381)=0,"Mã chưa có ở Bước 1",""),IF(COUNTIF($C$6:$C$505,$C381)&gt;1,"Trùng mã trong thông tin công việc",""),IF($D381="","Thiếu trạng thái làm việc",""),IF($E381="","Thiếu ngày vào công ty",IF(OR(NOT(ISNUMBER($E381)),$E381&gt;TODAY()),"Ngày vào công ty không hợp lệ","")),IF($G381="","Thiếu phòng ban",""),IF($I381="","Thiếu chức danh",""),IF(AND($M381&lt;&gt;"",COUNTIF('01_HO_SO'!$C$6:$C$505,$M381)=0),"Mã quản lý không tồn tại",""),IF(AND($M381&lt;&gt;"",$M381=$C381),"Không thể tự quản lý chính mình",""),IF(OR($N381&lt;0,$N381&gt;1000000000),"Lương cơ bản ngoài phạm vi","")))</f>
        <v/>
      </c>
      <c r="C381" s="20" t="n"/>
      <c r="D381" s="21" t="n"/>
      <c r="E381" s="22" t="n"/>
      <c r="F381" s="21" t="n"/>
      <c r="G381" s="21" t="n"/>
      <c r="H381" s="21" t="n"/>
      <c r="I381" s="21" t="n"/>
      <c r="J381" s="19">
        <f>IF($I381="","",IFERROR(INDEX(DANH_MUC!$D$4:$D$1000,MATCH($I381,DANH_MUC!$C$4:$C$1000,0)),""))</f>
        <v/>
      </c>
      <c r="K381" s="21" t="n"/>
      <c r="L381" s="21" t="n"/>
      <c r="M381" s="20" t="n"/>
      <c r="N381" s="23" t="n"/>
      <c r="O381" s="21" t="n"/>
    </row>
    <row r="382">
      <c r="A382" s="19">
        <f>IF($C382="","CHƯA NHẬP",IF($B382="","HỢP LỆ","LỖI"))</f>
        <v/>
      </c>
      <c r="B382" s="19">
        <f>IF($C382="","",TEXTJOIN(" | ",TRUE,IF(COUNTIF('01_HO_SO'!$C$6:$C$505,$C382)=0,"Mã chưa có ở Bước 1",""),IF(COUNTIF($C$6:$C$505,$C382)&gt;1,"Trùng mã trong thông tin công việc",""),IF($D382="","Thiếu trạng thái làm việc",""),IF($E382="","Thiếu ngày vào công ty",IF(OR(NOT(ISNUMBER($E382)),$E382&gt;TODAY()),"Ngày vào công ty không hợp lệ","")),IF($G382="","Thiếu phòng ban",""),IF($I382="","Thiếu chức danh",""),IF(AND($M382&lt;&gt;"",COUNTIF('01_HO_SO'!$C$6:$C$505,$M382)=0),"Mã quản lý không tồn tại",""),IF(AND($M382&lt;&gt;"",$M382=$C382),"Không thể tự quản lý chính mình",""),IF(OR($N382&lt;0,$N382&gt;1000000000),"Lương cơ bản ngoài phạm vi","")))</f>
        <v/>
      </c>
      <c r="C382" s="20" t="n"/>
      <c r="D382" s="21" t="n"/>
      <c r="E382" s="22" t="n"/>
      <c r="F382" s="21" t="n"/>
      <c r="G382" s="21" t="n"/>
      <c r="H382" s="21" t="n"/>
      <c r="I382" s="21" t="n"/>
      <c r="J382" s="19">
        <f>IF($I382="","",IFERROR(INDEX(DANH_MUC!$D$4:$D$1000,MATCH($I382,DANH_MUC!$C$4:$C$1000,0)),""))</f>
        <v/>
      </c>
      <c r="K382" s="21" t="n"/>
      <c r="L382" s="21" t="n"/>
      <c r="M382" s="20" t="n"/>
      <c r="N382" s="23" t="n"/>
      <c r="O382" s="21" t="n"/>
    </row>
    <row r="383">
      <c r="A383" s="19">
        <f>IF($C383="","CHƯA NHẬP",IF($B383="","HỢP LỆ","LỖI"))</f>
        <v/>
      </c>
      <c r="B383" s="19">
        <f>IF($C383="","",TEXTJOIN(" | ",TRUE,IF(COUNTIF('01_HO_SO'!$C$6:$C$505,$C383)=0,"Mã chưa có ở Bước 1",""),IF(COUNTIF($C$6:$C$505,$C383)&gt;1,"Trùng mã trong thông tin công việc",""),IF($D383="","Thiếu trạng thái làm việc",""),IF($E383="","Thiếu ngày vào công ty",IF(OR(NOT(ISNUMBER($E383)),$E383&gt;TODAY()),"Ngày vào công ty không hợp lệ","")),IF($G383="","Thiếu phòng ban",""),IF($I383="","Thiếu chức danh",""),IF(AND($M383&lt;&gt;"",COUNTIF('01_HO_SO'!$C$6:$C$505,$M383)=0),"Mã quản lý không tồn tại",""),IF(AND($M383&lt;&gt;"",$M383=$C383),"Không thể tự quản lý chính mình",""),IF(OR($N383&lt;0,$N383&gt;1000000000),"Lương cơ bản ngoài phạm vi","")))</f>
        <v/>
      </c>
      <c r="C383" s="20" t="n"/>
      <c r="D383" s="21" t="n"/>
      <c r="E383" s="22" t="n"/>
      <c r="F383" s="21" t="n"/>
      <c r="G383" s="21" t="n"/>
      <c r="H383" s="21" t="n"/>
      <c r="I383" s="21" t="n"/>
      <c r="J383" s="19">
        <f>IF($I383="","",IFERROR(INDEX(DANH_MUC!$D$4:$D$1000,MATCH($I383,DANH_MUC!$C$4:$C$1000,0)),""))</f>
        <v/>
      </c>
      <c r="K383" s="21" t="n"/>
      <c r="L383" s="21" t="n"/>
      <c r="M383" s="20" t="n"/>
      <c r="N383" s="23" t="n"/>
      <c r="O383" s="21" t="n"/>
    </row>
    <row r="384">
      <c r="A384" s="19">
        <f>IF($C384="","CHƯA NHẬP",IF($B384="","HỢP LỆ","LỖI"))</f>
        <v/>
      </c>
      <c r="B384" s="19">
        <f>IF($C384="","",TEXTJOIN(" | ",TRUE,IF(COUNTIF('01_HO_SO'!$C$6:$C$505,$C384)=0,"Mã chưa có ở Bước 1",""),IF(COUNTIF($C$6:$C$505,$C384)&gt;1,"Trùng mã trong thông tin công việc",""),IF($D384="","Thiếu trạng thái làm việc",""),IF($E384="","Thiếu ngày vào công ty",IF(OR(NOT(ISNUMBER($E384)),$E384&gt;TODAY()),"Ngày vào công ty không hợp lệ","")),IF($G384="","Thiếu phòng ban",""),IF($I384="","Thiếu chức danh",""),IF(AND($M384&lt;&gt;"",COUNTIF('01_HO_SO'!$C$6:$C$505,$M384)=0),"Mã quản lý không tồn tại",""),IF(AND($M384&lt;&gt;"",$M384=$C384),"Không thể tự quản lý chính mình",""),IF(OR($N384&lt;0,$N384&gt;1000000000),"Lương cơ bản ngoài phạm vi","")))</f>
        <v/>
      </c>
      <c r="C384" s="20" t="n"/>
      <c r="D384" s="21" t="n"/>
      <c r="E384" s="22" t="n"/>
      <c r="F384" s="21" t="n"/>
      <c r="G384" s="21" t="n"/>
      <c r="H384" s="21" t="n"/>
      <c r="I384" s="21" t="n"/>
      <c r="J384" s="19">
        <f>IF($I384="","",IFERROR(INDEX(DANH_MUC!$D$4:$D$1000,MATCH($I384,DANH_MUC!$C$4:$C$1000,0)),""))</f>
        <v/>
      </c>
      <c r="K384" s="21" t="n"/>
      <c r="L384" s="21" t="n"/>
      <c r="M384" s="20" t="n"/>
      <c r="N384" s="23" t="n"/>
      <c r="O384" s="21" t="n"/>
    </row>
    <row r="385">
      <c r="A385" s="19">
        <f>IF($C385="","CHƯA NHẬP",IF($B385="","HỢP LỆ","LỖI"))</f>
        <v/>
      </c>
      <c r="B385" s="19">
        <f>IF($C385="","",TEXTJOIN(" | ",TRUE,IF(COUNTIF('01_HO_SO'!$C$6:$C$505,$C385)=0,"Mã chưa có ở Bước 1",""),IF(COUNTIF($C$6:$C$505,$C385)&gt;1,"Trùng mã trong thông tin công việc",""),IF($D385="","Thiếu trạng thái làm việc",""),IF($E385="","Thiếu ngày vào công ty",IF(OR(NOT(ISNUMBER($E385)),$E385&gt;TODAY()),"Ngày vào công ty không hợp lệ","")),IF($G385="","Thiếu phòng ban",""),IF($I385="","Thiếu chức danh",""),IF(AND($M385&lt;&gt;"",COUNTIF('01_HO_SO'!$C$6:$C$505,$M385)=0),"Mã quản lý không tồn tại",""),IF(AND($M385&lt;&gt;"",$M385=$C385),"Không thể tự quản lý chính mình",""),IF(OR($N385&lt;0,$N385&gt;1000000000),"Lương cơ bản ngoài phạm vi","")))</f>
        <v/>
      </c>
      <c r="C385" s="20" t="n"/>
      <c r="D385" s="21" t="n"/>
      <c r="E385" s="22" t="n"/>
      <c r="F385" s="21" t="n"/>
      <c r="G385" s="21" t="n"/>
      <c r="H385" s="21" t="n"/>
      <c r="I385" s="21" t="n"/>
      <c r="J385" s="19">
        <f>IF($I385="","",IFERROR(INDEX(DANH_MUC!$D$4:$D$1000,MATCH($I385,DANH_MUC!$C$4:$C$1000,0)),""))</f>
        <v/>
      </c>
      <c r="K385" s="21" t="n"/>
      <c r="L385" s="21" t="n"/>
      <c r="M385" s="20" t="n"/>
      <c r="N385" s="23" t="n"/>
      <c r="O385" s="21" t="n"/>
    </row>
    <row r="386">
      <c r="A386" s="19">
        <f>IF($C386="","CHƯA NHẬP",IF($B386="","HỢP LỆ","LỖI"))</f>
        <v/>
      </c>
      <c r="B386" s="19">
        <f>IF($C386="","",TEXTJOIN(" | ",TRUE,IF(COUNTIF('01_HO_SO'!$C$6:$C$505,$C386)=0,"Mã chưa có ở Bước 1",""),IF(COUNTIF($C$6:$C$505,$C386)&gt;1,"Trùng mã trong thông tin công việc",""),IF($D386="","Thiếu trạng thái làm việc",""),IF($E386="","Thiếu ngày vào công ty",IF(OR(NOT(ISNUMBER($E386)),$E386&gt;TODAY()),"Ngày vào công ty không hợp lệ","")),IF($G386="","Thiếu phòng ban",""),IF($I386="","Thiếu chức danh",""),IF(AND($M386&lt;&gt;"",COUNTIF('01_HO_SO'!$C$6:$C$505,$M386)=0),"Mã quản lý không tồn tại",""),IF(AND($M386&lt;&gt;"",$M386=$C386),"Không thể tự quản lý chính mình",""),IF(OR($N386&lt;0,$N386&gt;1000000000),"Lương cơ bản ngoài phạm vi","")))</f>
        <v/>
      </c>
      <c r="C386" s="20" t="n"/>
      <c r="D386" s="21" t="n"/>
      <c r="E386" s="22" t="n"/>
      <c r="F386" s="21" t="n"/>
      <c r="G386" s="21" t="n"/>
      <c r="H386" s="21" t="n"/>
      <c r="I386" s="21" t="n"/>
      <c r="J386" s="19">
        <f>IF($I386="","",IFERROR(INDEX(DANH_MUC!$D$4:$D$1000,MATCH($I386,DANH_MUC!$C$4:$C$1000,0)),""))</f>
        <v/>
      </c>
      <c r="K386" s="21" t="n"/>
      <c r="L386" s="21" t="n"/>
      <c r="M386" s="20" t="n"/>
      <c r="N386" s="23" t="n"/>
      <c r="O386" s="21" t="n"/>
    </row>
    <row r="387">
      <c r="A387" s="19">
        <f>IF($C387="","CHƯA NHẬP",IF($B387="","HỢP LỆ","LỖI"))</f>
        <v/>
      </c>
      <c r="B387" s="19">
        <f>IF($C387="","",TEXTJOIN(" | ",TRUE,IF(COUNTIF('01_HO_SO'!$C$6:$C$505,$C387)=0,"Mã chưa có ở Bước 1",""),IF(COUNTIF($C$6:$C$505,$C387)&gt;1,"Trùng mã trong thông tin công việc",""),IF($D387="","Thiếu trạng thái làm việc",""),IF($E387="","Thiếu ngày vào công ty",IF(OR(NOT(ISNUMBER($E387)),$E387&gt;TODAY()),"Ngày vào công ty không hợp lệ","")),IF($G387="","Thiếu phòng ban",""),IF($I387="","Thiếu chức danh",""),IF(AND($M387&lt;&gt;"",COUNTIF('01_HO_SO'!$C$6:$C$505,$M387)=0),"Mã quản lý không tồn tại",""),IF(AND($M387&lt;&gt;"",$M387=$C387),"Không thể tự quản lý chính mình",""),IF(OR($N387&lt;0,$N387&gt;1000000000),"Lương cơ bản ngoài phạm vi","")))</f>
        <v/>
      </c>
      <c r="C387" s="20" t="n"/>
      <c r="D387" s="21" t="n"/>
      <c r="E387" s="22" t="n"/>
      <c r="F387" s="21" t="n"/>
      <c r="G387" s="21" t="n"/>
      <c r="H387" s="21" t="n"/>
      <c r="I387" s="21" t="n"/>
      <c r="J387" s="19">
        <f>IF($I387="","",IFERROR(INDEX(DANH_MUC!$D$4:$D$1000,MATCH($I387,DANH_MUC!$C$4:$C$1000,0)),""))</f>
        <v/>
      </c>
      <c r="K387" s="21" t="n"/>
      <c r="L387" s="21" t="n"/>
      <c r="M387" s="20" t="n"/>
      <c r="N387" s="23" t="n"/>
      <c r="O387" s="21" t="n"/>
    </row>
    <row r="388">
      <c r="A388" s="19">
        <f>IF($C388="","CHƯA NHẬP",IF($B388="","HỢP LỆ","LỖI"))</f>
        <v/>
      </c>
      <c r="B388" s="19">
        <f>IF($C388="","",TEXTJOIN(" | ",TRUE,IF(COUNTIF('01_HO_SO'!$C$6:$C$505,$C388)=0,"Mã chưa có ở Bước 1",""),IF(COUNTIF($C$6:$C$505,$C388)&gt;1,"Trùng mã trong thông tin công việc",""),IF($D388="","Thiếu trạng thái làm việc",""),IF($E388="","Thiếu ngày vào công ty",IF(OR(NOT(ISNUMBER($E388)),$E388&gt;TODAY()),"Ngày vào công ty không hợp lệ","")),IF($G388="","Thiếu phòng ban",""),IF($I388="","Thiếu chức danh",""),IF(AND($M388&lt;&gt;"",COUNTIF('01_HO_SO'!$C$6:$C$505,$M388)=0),"Mã quản lý không tồn tại",""),IF(AND($M388&lt;&gt;"",$M388=$C388),"Không thể tự quản lý chính mình",""),IF(OR($N388&lt;0,$N388&gt;1000000000),"Lương cơ bản ngoài phạm vi","")))</f>
        <v/>
      </c>
      <c r="C388" s="20" t="n"/>
      <c r="D388" s="21" t="n"/>
      <c r="E388" s="22" t="n"/>
      <c r="F388" s="21" t="n"/>
      <c r="G388" s="21" t="n"/>
      <c r="H388" s="21" t="n"/>
      <c r="I388" s="21" t="n"/>
      <c r="J388" s="19">
        <f>IF($I388="","",IFERROR(INDEX(DANH_MUC!$D$4:$D$1000,MATCH($I388,DANH_MUC!$C$4:$C$1000,0)),""))</f>
        <v/>
      </c>
      <c r="K388" s="21" t="n"/>
      <c r="L388" s="21" t="n"/>
      <c r="M388" s="20" t="n"/>
      <c r="N388" s="23" t="n"/>
      <c r="O388" s="21" t="n"/>
    </row>
    <row r="389">
      <c r="A389" s="19">
        <f>IF($C389="","CHƯA NHẬP",IF($B389="","HỢP LỆ","LỖI"))</f>
        <v/>
      </c>
      <c r="B389" s="19">
        <f>IF($C389="","",TEXTJOIN(" | ",TRUE,IF(COUNTIF('01_HO_SO'!$C$6:$C$505,$C389)=0,"Mã chưa có ở Bước 1",""),IF(COUNTIF($C$6:$C$505,$C389)&gt;1,"Trùng mã trong thông tin công việc",""),IF($D389="","Thiếu trạng thái làm việc",""),IF($E389="","Thiếu ngày vào công ty",IF(OR(NOT(ISNUMBER($E389)),$E389&gt;TODAY()),"Ngày vào công ty không hợp lệ","")),IF($G389="","Thiếu phòng ban",""),IF($I389="","Thiếu chức danh",""),IF(AND($M389&lt;&gt;"",COUNTIF('01_HO_SO'!$C$6:$C$505,$M389)=0),"Mã quản lý không tồn tại",""),IF(AND($M389&lt;&gt;"",$M389=$C389),"Không thể tự quản lý chính mình",""),IF(OR($N389&lt;0,$N389&gt;1000000000),"Lương cơ bản ngoài phạm vi","")))</f>
        <v/>
      </c>
      <c r="C389" s="20" t="n"/>
      <c r="D389" s="21" t="n"/>
      <c r="E389" s="22" t="n"/>
      <c r="F389" s="21" t="n"/>
      <c r="G389" s="21" t="n"/>
      <c r="H389" s="21" t="n"/>
      <c r="I389" s="21" t="n"/>
      <c r="J389" s="19">
        <f>IF($I389="","",IFERROR(INDEX(DANH_MUC!$D$4:$D$1000,MATCH($I389,DANH_MUC!$C$4:$C$1000,0)),""))</f>
        <v/>
      </c>
      <c r="K389" s="21" t="n"/>
      <c r="L389" s="21" t="n"/>
      <c r="M389" s="20" t="n"/>
      <c r="N389" s="23" t="n"/>
      <c r="O389" s="21" t="n"/>
    </row>
    <row r="390">
      <c r="A390" s="19">
        <f>IF($C390="","CHƯA NHẬP",IF($B390="","HỢP LỆ","LỖI"))</f>
        <v/>
      </c>
      <c r="B390" s="19">
        <f>IF($C390="","",TEXTJOIN(" | ",TRUE,IF(COUNTIF('01_HO_SO'!$C$6:$C$505,$C390)=0,"Mã chưa có ở Bước 1",""),IF(COUNTIF($C$6:$C$505,$C390)&gt;1,"Trùng mã trong thông tin công việc",""),IF($D390="","Thiếu trạng thái làm việc",""),IF($E390="","Thiếu ngày vào công ty",IF(OR(NOT(ISNUMBER($E390)),$E390&gt;TODAY()),"Ngày vào công ty không hợp lệ","")),IF($G390="","Thiếu phòng ban",""),IF($I390="","Thiếu chức danh",""),IF(AND($M390&lt;&gt;"",COUNTIF('01_HO_SO'!$C$6:$C$505,$M390)=0),"Mã quản lý không tồn tại",""),IF(AND($M390&lt;&gt;"",$M390=$C390),"Không thể tự quản lý chính mình",""),IF(OR($N390&lt;0,$N390&gt;1000000000),"Lương cơ bản ngoài phạm vi","")))</f>
        <v/>
      </c>
      <c r="C390" s="20" t="n"/>
      <c r="D390" s="21" t="n"/>
      <c r="E390" s="22" t="n"/>
      <c r="F390" s="21" t="n"/>
      <c r="G390" s="21" t="n"/>
      <c r="H390" s="21" t="n"/>
      <c r="I390" s="21" t="n"/>
      <c r="J390" s="19">
        <f>IF($I390="","",IFERROR(INDEX(DANH_MUC!$D$4:$D$1000,MATCH($I390,DANH_MUC!$C$4:$C$1000,0)),""))</f>
        <v/>
      </c>
      <c r="K390" s="21" t="n"/>
      <c r="L390" s="21" t="n"/>
      <c r="M390" s="20" t="n"/>
      <c r="N390" s="23" t="n"/>
      <c r="O390" s="21" t="n"/>
    </row>
    <row r="391">
      <c r="A391" s="19">
        <f>IF($C391="","CHƯA NHẬP",IF($B391="","HỢP LỆ","LỖI"))</f>
        <v/>
      </c>
      <c r="B391" s="19">
        <f>IF($C391="","",TEXTJOIN(" | ",TRUE,IF(COUNTIF('01_HO_SO'!$C$6:$C$505,$C391)=0,"Mã chưa có ở Bước 1",""),IF(COUNTIF($C$6:$C$505,$C391)&gt;1,"Trùng mã trong thông tin công việc",""),IF($D391="","Thiếu trạng thái làm việc",""),IF($E391="","Thiếu ngày vào công ty",IF(OR(NOT(ISNUMBER($E391)),$E391&gt;TODAY()),"Ngày vào công ty không hợp lệ","")),IF($G391="","Thiếu phòng ban",""),IF($I391="","Thiếu chức danh",""),IF(AND($M391&lt;&gt;"",COUNTIF('01_HO_SO'!$C$6:$C$505,$M391)=0),"Mã quản lý không tồn tại",""),IF(AND($M391&lt;&gt;"",$M391=$C391),"Không thể tự quản lý chính mình",""),IF(OR($N391&lt;0,$N391&gt;1000000000),"Lương cơ bản ngoài phạm vi","")))</f>
        <v/>
      </c>
      <c r="C391" s="20" t="n"/>
      <c r="D391" s="21" t="n"/>
      <c r="E391" s="22" t="n"/>
      <c r="F391" s="21" t="n"/>
      <c r="G391" s="21" t="n"/>
      <c r="H391" s="21" t="n"/>
      <c r="I391" s="21" t="n"/>
      <c r="J391" s="19">
        <f>IF($I391="","",IFERROR(INDEX(DANH_MUC!$D$4:$D$1000,MATCH($I391,DANH_MUC!$C$4:$C$1000,0)),""))</f>
        <v/>
      </c>
      <c r="K391" s="21" t="n"/>
      <c r="L391" s="21" t="n"/>
      <c r="M391" s="20" t="n"/>
      <c r="N391" s="23" t="n"/>
      <c r="O391" s="21" t="n"/>
    </row>
    <row r="392">
      <c r="A392" s="19">
        <f>IF($C392="","CHƯA NHẬP",IF($B392="","HỢP LỆ","LỖI"))</f>
        <v/>
      </c>
      <c r="B392" s="19">
        <f>IF($C392="","",TEXTJOIN(" | ",TRUE,IF(COUNTIF('01_HO_SO'!$C$6:$C$505,$C392)=0,"Mã chưa có ở Bước 1",""),IF(COUNTIF($C$6:$C$505,$C392)&gt;1,"Trùng mã trong thông tin công việc",""),IF($D392="","Thiếu trạng thái làm việc",""),IF($E392="","Thiếu ngày vào công ty",IF(OR(NOT(ISNUMBER($E392)),$E392&gt;TODAY()),"Ngày vào công ty không hợp lệ","")),IF($G392="","Thiếu phòng ban",""),IF($I392="","Thiếu chức danh",""),IF(AND($M392&lt;&gt;"",COUNTIF('01_HO_SO'!$C$6:$C$505,$M392)=0),"Mã quản lý không tồn tại",""),IF(AND($M392&lt;&gt;"",$M392=$C392),"Không thể tự quản lý chính mình",""),IF(OR($N392&lt;0,$N392&gt;1000000000),"Lương cơ bản ngoài phạm vi","")))</f>
        <v/>
      </c>
      <c r="C392" s="20" t="n"/>
      <c r="D392" s="21" t="n"/>
      <c r="E392" s="22" t="n"/>
      <c r="F392" s="21" t="n"/>
      <c r="G392" s="21" t="n"/>
      <c r="H392" s="21" t="n"/>
      <c r="I392" s="21" t="n"/>
      <c r="J392" s="19">
        <f>IF($I392="","",IFERROR(INDEX(DANH_MUC!$D$4:$D$1000,MATCH($I392,DANH_MUC!$C$4:$C$1000,0)),""))</f>
        <v/>
      </c>
      <c r="K392" s="21" t="n"/>
      <c r="L392" s="21" t="n"/>
      <c r="M392" s="20" t="n"/>
      <c r="N392" s="23" t="n"/>
      <c r="O392" s="21" t="n"/>
    </row>
    <row r="393">
      <c r="A393" s="19">
        <f>IF($C393="","CHƯA NHẬP",IF($B393="","HỢP LỆ","LỖI"))</f>
        <v/>
      </c>
      <c r="B393" s="19">
        <f>IF($C393="","",TEXTJOIN(" | ",TRUE,IF(COUNTIF('01_HO_SO'!$C$6:$C$505,$C393)=0,"Mã chưa có ở Bước 1",""),IF(COUNTIF($C$6:$C$505,$C393)&gt;1,"Trùng mã trong thông tin công việc",""),IF($D393="","Thiếu trạng thái làm việc",""),IF($E393="","Thiếu ngày vào công ty",IF(OR(NOT(ISNUMBER($E393)),$E393&gt;TODAY()),"Ngày vào công ty không hợp lệ","")),IF($G393="","Thiếu phòng ban",""),IF($I393="","Thiếu chức danh",""),IF(AND($M393&lt;&gt;"",COUNTIF('01_HO_SO'!$C$6:$C$505,$M393)=0),"Mã quản lý không tồn tại",""),IF(AND($M393&lt;&gt;"",$M393=$C393),"Không thể tự quản lý chính mình",""),IF(OR($N393&lt;0,$N393&gt;1000000000),"Lương cơ bản ngoài phạm vi","")))</f>
        <v/>
      </c>
      <c r="C393" s="20" t="n"/>
      <c r="D393" s="21" t="n"/>
      <c r="E393" s="22" t="n"/>
      <c r="F393" s="21" t="n"/>
      <c r="G393" s="21" t="n"/>
      <c r="H393" s="21" t="n"/>
      <c r="I393" s="21" t="n"/>
      <c r="J393" s="19">
        <f>IF($I393="","",IFERROR(INDEX(DANH_MUC!$D$4:$D$1000,MATCH($I393,DANH_MUC!$C$4:$C$1000,0)),""))</f>
        <v/>
      </c>
      <c r="K393" s="21" t="n"/>
      <c r="L393" s="21" t="n"/>
      <c r="M393" s="20" t="n"/>
      <c r="N393" s="23" t="n"/>
      <c r="O393" s="21" t="n"/>
    </row>
    <row r="394">
      <c r="A394" s="19">
        <f>IF($C394="","CHƯA NHẬP",IF($B394="","HỢP LỆ","LỖI"))</f>
        <v/>
      </c>
      <c r="B394" s="19">
        <f>IF($C394="","",TEXTJOIN(" | ",TRUE,IF(COUNTIF('01_HO_SO'!$C$6:$C$505,$C394)=0,"Mã chưa có ở Bước 1",""),IF(COUNTIF($C$6:$C$505,$C394)&gt;1,"Trùng mã trong thông tin công việc",""),IF($D394="","Thiếu trạng thái làm việc",""),IF($E394="","Thiếu ngày vào công ty",IF(OR(NOT(ISNUMBER($E394)),$E394&gt;TODAY()),"Ngày vào công ty không hợp lệ","")),IF($G394="","Thiếu phòng ban",""),IF($I394="","Thiếu chức danh",""),IF(AND($M394&lt;&gt;"",COUNTIF('01_HO_SO'!$C$6:$C$505,$M394)=0),"Mã quản lý không tồn tại",""),IF(AND($M394&lt;&gt;"",$M394=$C394),"Không thể tự quản lý chính mình",""),IF(OR($N394&lt;0,$N394&gt;1000000000),"Lương cơ bản ngoài phạm vi","")))</f>
        <v/>
      </c>
      <c r="C394" s="20" t="n"/>
      <c r="D394" s="21" t="n"/>
      <c r="E394" s="22" t="n"/>
      <c r="F394" s="21" t="n"/>
      <c r="G394" s="21" t="n"/>
      <c r="H394" s="21" t="n"/>
      <c r="I394" s="21" t="n"/>
      <c r="J394" s="19">
        <f>IF($I394="","",IFERROR(INDEX(DANH_MUC!$D$4:$D$1000,MATCH($I394,DANH_MUC!$C$4:$C$1000,0)),""))</f>
        <v/>
      </c>
      <c r="K394" s="21" t="n"/>
      <c r="L394" s="21" t="n"/>
      <c r="M394" s="20" t="n"/>
      <c r="N394" s="23" t="n"/>
      <c r="O394" s="21" t="n"/>
    </row>
    <row r="395">
      <c r="A395" s="19">
        <f>IF($C395="","CHƯA NHẬP",IF($B395="","HỢP LỆ","LỖI"))</f>
        <v/>
      </c>
      <c r="B395" s="19">
        <f>IF($C395="","",TEXTJOIN(" | ",TRUE,IF(COUNTIF('01_HO_SO'!$C$6:$C$505,$C395)=0,"Mã chưa có ở Bước 1",""),IF(COUNTIF($C$6:$C$505,$C395)&gt;1,"Trùng mã trong thông tin công việc",""),IF($D395="","Thiếu trạng thái làm việc",""),IF($E395="","Thiếu ngày vào công ty",IF(OR(NOT(ISNUMBER($E395)),$E395&gt;TODAY()),"Ngày vào công ty không hợp lệ","")),IF($G395="","Thiếu phòng ban",""),IF($I395="","Thiếu chức danh",""),IF(AND($M395&lt;&gt;"",COUNTIF('01_HO_SO'!$C$6:$C$505,$M395)=0),"Mã quản lý không tồn tại",""),IF(AND($M395&lt;&gt;"",$M395=$C395),"Không thể tự quản lý chính mình",""),IF(OR($N395&lt;0,$N395&gt;1000000000),"Lương cơ bản ngoài phạm vi","")))</f>
        <v/>
      </c>
      <c r="C395" s="20" t="n"/>
      <c r="D395" s="21" t="n"/>
      <c r="E395" s="22" t="n"/>
      <c r="F395" s="21" t="n"/>
      <c r="G395" s="21" t="n"/>
      <c r="H395" s="21" t="n"/>
      <c r="I395" s="21" t="n"/>
      <c r="J395" s="19">
        <f>IF($I395="","",IFERROR(INDEX(DANH_MUC!$D$4:$D$1000,MATCH($I395,DANH_MUC!$C$4:$C$1000,0)),""))</f>
        <v/>
      </c>
      <c r="K395" s="21" t="n"/>
      <c r="L395" s="21" t="n"/>
      <c r="M395" s="20" t="n"/>
      <c r="N395" s="23" t="n"/>
      <c r="O395" s="21" t="n"/>
    </row>
    <row r="396">
      <c r="A396" s="19">
        <f>IF($C396="","CHƯA NHẬP",IF($B396="","HỢP LỆ","LỖI"))</f>
        <v/>
      </c>
      <c r="B396" s="19">
        <f>IF($C396="","",TEXTJOIN(" | ",TRUE,IF(COUNTIF('01_HO_SO'!$C$6:$C$505,$C396)=0,"Mã chưa có ở Bước 1",""),IF(COUNTIF($C$6:$C$505,$C396)&gt;1,"Trùng mã trong thông tin công việc",""),IF($D396="","Thiếu trạng thái làm việc",""),IF($E396="","Thiếu ngày vào công ty",IF(OR(NOT(ISNUMBER($E396)),$E396&gt;TODAY()),"Ngày vào công ty không hợp lệ","")),IF($G396="","Thiếu phòng ban",""),IF($I396="","Thiếu chức danh",""),IF(AND($M396&lt;&gt;"",COUNTIF('01_HO_SO'!$C$6:$C$505,$M396)=0),"Mã quản lý không tồn tại",""),IF(AND($M396&lt;&gt;"",$M396=$C396),"Không thể tự quản lý chính mình",""),IF(OR($N396&lt;0,$N396&gt;1000000000),"Lương cơ bản ngoài phạm vi","")))</f>
        <v/>
      </c>
      <c r="C396" s="20" t="n"/>
      <c r="D396" s="21" t="n"/>
      <c r="E396" s="22" t="n"/>
      <c r="F396" s="21" t="n"/>
      <c r="G396" s="21" t="n"/>
      <c r="H396" s="21" t="n"/>
      <c r="I396" s="21" t="n"/>
      <c r="J396" s="19">
        <f>IF($I396="","",IFERROR(INDEX(DANH_MUC!$D$4:$D$1000,MATCH($I396,DANH_MUC!$C$4:$C$1000,0)),""))</f>
        <v/>
      </c>
      <c r="K396" s="21" t="n"/>
      <c r="L396" s="21" t="n"/>
      <c r="M396" s="20" t="n"/>
      <c r="N396" s="23" t="n"/>
      <c r="O396" s="21" t="n"/>
    </row>
    <row r="397">
      <c r="A397" s="19">
        <f>IF($C397="","CHƯA NHẬP",IF($B397="","HỢP LỆ","LỖI"))</f>
        <v/>
      </c>
      <c r="B397" s="19">
        <f>IF($C397="","",TEXTJOIN(" | ",TRUE,IF(COUNTIF('01_HO_SO'!$C$6:$C$505,$C397)=0,"Mã chưa có ở Bước 1",""),IF(COUNTIF($C$6:$C$505,$C397)&gt;1,"Trùng mã trong thông tin công việc",""),IF($D397="","Thiếu trạng thái làm việc",""),IF($E397="","Thiếu ngày vào công ty",IF(OR(NOT(ISNUMBER($E397)),$E397&gt;TODAY()),"Ngày vào công ty không hợp lệ","")),IF($G397="","Thiếu phòng ban",""),IF($I397="","Thiếu chức danh",""),IF(AND($M397&lt;&gt;"",COUNTIF('01_HO_SO'!$C$6:$C$505,$M397)=0),"Mã quản lý không tồn tại",""),IF(AND($M397&lt;&gt;"",$M397=$C397),"Không thể tự quản lý chính mình",""),IF(OR($N397&lt;0,$N397&gt;1000000000),"Lương cơ bản ngoài phạm vi","")))</f>
        <v/>
      </c>
      <c r="C397" s="20" t="n"/>
      <c r="D397" s="21" t="n"/>
      <c r="E397" s="22" t="n"/>
      <c r="F397" s="21" t="n"/>
      <c r="G397" s="21" t="n"/>
      <c r="H397" s="21" t="n"/>
      <c r="I397" s="21" t="n"/>
      <c r="J397" s="19">
        <f>IF($I397="","",IFERROR(INDEX(DANH_MUC!$D$4:$D$1000,MATCH($I397,DANH_MUC!$C$4:$C$1000,0)),""))</f>
        <v/>
      </c>
      <c r="K397" s="21" t="n"/>
      <c r="L397" s="21" t="n"/>
      <c r="M397" s="20" t="n"/>
      <c r="N397" s="23" t="n"/>
      <c r="O397" s="21" t="n"/>
    </row>
    <row r="398">
      <c r="A398" s="19">
        <f>IF($C398="","CHƯA NHẬP",IF($B398="","HỢP LỆ","LỖI"))</f>
        <v/>
      </c>
      <c r="B398" s="19">
        <f>IF($C398="","",TEXTJOIN(" | ",TRUE,IF(COUNTIF('01_HO_SO'!$C$6:$C$505,$C398)=0,"Mã chưa có ở Bước 1",""),IF(COUNTIF($C$6:$C$505,$C398)&gt;1,"Trùng mã trong thông tin công việc",""),IF($D398="","Thiếu trạng thái làm việc",""),IF($E398="","Thiếu ngày vào công ty",IF(OR(NOT(ISNUMBER($E398)),$E398&gt;TODAY()),"Ngày vào công ty không hợp lệ","")),IF($G398="","Thiếu phòng ban",""),IF($I398="","Thiếu chức danh",""),IF(AND($M398&lt;&gt;"",COUNTIF('01_HO_SO'!$C$6:$C$505,$M398)=0),"Mã quản lý không tồn tại",""),IF(AND($M398&lt;&gt;"",$M398=$C398),"Không thể tự quản lý chính mình",""),IF(OR($N398&lt;0,$N398&gt;1000000000),"Lương cơ bản ngoài phạm vi","")))</f>
        <v/>
      </c>
      <c r="C398" s="20" t="n"/>
      <c r="D398" s="21" t="n"/>
      <c r="E398" s="22" t="n"/>
      <c r="F398" s="21" t="n"/>
      <c r="G398" s="21" t="n"/>
      <c r="H398" s="21" t="n"/>
      <c r="I398" s="21" t="n"/>
      <c r="J398" s="19">
        <f>IF($I398="","",IFERROR(INDEX(DANH_MUC!$D$4:$D$1000,MATCH($I398,DANH_MUC!$C$4:$C$1000,0)),""))</f>
        <v/>
      </c>
      <c r="K398" s="21" t="n"/>
      <c r="L398" s="21" t="n"/>
      <c r="M398" s="20" t="n"/>
      <c r="N398" s="23" t="n"/>
      <c r="O398" s="21" t="n"/>
    </row>
    <row r="399">
      <c r="A399" s="19">
        <f>IF($C399="","CHƯA NHẬP",IF($B399="","HỢP LỆ","LỖI"))</f>
        <v/>
      </c>
      <c r="B399" s="19">
        <f>IF($C399="","",TEXTJOIN(" | ",TRUE,IF(COUNTIF('01_HO_SO'!$C$6:$C$505,$C399)=0,"Mã chưa có ở Bước 1",""),IF(COUNTIF($C$6:$C$505,$C399)&gt;1,"Trùng mã trong thông tin công việc",""),IF($D399="","Thiếu trạng thái làm việc",""),IF($E399="","Thiếu ngày vào công ty",IF(OR(NOT(ISNUMBER($E399)),$E399&gt;TODAY()),"Ngày vào công ty không hợp lệ","")),IF($G399="","Thiếu phòng ban",""),IF($I399="","Thiếu chức danh",""),IF(AND($M399&lt;&gt;"",COUNTIF('01_HO_SO'!$C$6:$C$505,$M399)=0),"Mã quản lý không tồn tại",""),IF(AND($M399&lt;&gt;"",$M399=$C399),"Không thể tự quản lý chính mình",""),IF(OR($N399&lt;0,$N399&gt;1000000000),"Lương cơ bản ngoài phạm vi","")))</f>
        <v/>
      </c>
      <c r="C399" s="20" t="n"/>
      <c r="D399" s="21" t="n"/>
      <c r="E399" s="22" t="n"/>
      <c r="F399" s="21" t="n"/>
      <c r="G399" s="21" t="n"/>
      <c r="H399" s="21" t="n"/>
      <c r="I399" s="21" t="n"/>
      <c r="J399" s="19">
        <f>IF($I399="","",IFERROR(INDEX(DANH_MUC!$D$4:$D$1000,MATCH($I399,DANH_MUC!$C$4:$C$1000,0)),""))</f>
        <v/>
      </c>
      <c r="K399" s="21" t="n"/>
      <c r="L399" s="21" t="n"/>
      <c r="M399" s="20" t="n"/>
      <c r="N399" s="23" t="n"/>
      <c r="O399" s="21" t="n"/>
    </row>
    <row r="400">
      <c r="A400" s="19">
        <f>IF($C400="","CHƯA NHẬP",IF($B400="","HỢP LỆ","LỖI"))</f>
        <v/>
      </c>
      <c r="B400" s="19">
        <f>IF($C400="","",TEXTJOIN(" | ",TRUE,IF(COUNTIF('01_HO_SO'!$C$6:$C$505,$C400)=0,"Mã chưa có ở Bước 1",""),IF(COUNTIF($C$6:$C$505,$C400)&gt;1,"Trùng mã trong thông tin công việc",""),IF($D400="","Thiếu trạng thái làm việc",""),IF($E400="","Thiếu ngày vào công ty",IF(OR(NOT(ISNUMBER($E400)),$E400&gt;TODAY()),"Ngày vào công ty không hợp lệ","")),IF($G400="","Thiếu phòng ban",""),IF($I400="","Thiếu chức danh",""),IF(AND($M400&lt;&gt;"",COUNTIF('01_HO_SO'!$C$6:$C$505,$M400)=0),"Mã quản lý không tồn tại",""),IF(AND($M400&lt;&gt;"",$M400=$C400),"Không thể tự quản lý chính mình",""),IF(OR($N400&lt;0,$N400&gt;1000000000),"Lương cơ bản ngoài phạm vi","")))</f>
        <v/>
      </c>
      <c r="C400" s="20" t="n"/>
      <c r="D400" s="21" t="n"/>
      <c r="E400" s="22" t="n"/>
      <c r="F400" s="21" t="n"/>
      <c r="G400" s="21" t="n"/>
      <c r="H400" s="21" t="n"/>
      <c r="I400" s="21" t="n"/>
      <c r="J400" s="19">
        <f>IF($I400="","",IFERROR(INDEX(DANH_MUC!$D$4:$D$1000,MATCH($I400,DANH_MUC!$C$4:$C$1000,0)),""))</f>
        <v/>
      </c>
      <c r="K400" s="21" t="n"/>
      <c r="L400" s="21" t="n"/>
      <c r="M400" s="20" t="n"/>
      <c r="N400" s="23" t="n"/>
      <c r="O400" s="21" t="n"/>
    </row>
    <row r="401">
      <c r="A401" s="19">
        <f>IF($C401="","CHƯA NHẬP",IF($B401="","HỢP LỆ","LỖI"))</f>
        <v/>
      </c>
      <c r="B401" s="19">
        <f>IF($C401="","",TEXTJOIN(" | ",TRUE,IF(COUNTIF('01_HO_SO'!$C$6:$C$505,$C401)=0,"Mã chưa có ở Bước 1",""),IF(COUNTIF($C$6:$C$505,$C401)&gt;1,"Trùng mã trong thông tin công việc",""),IF($D401="","Thiếu trạng thái làm việc",""),IF($E401="","Thiếu ngày vào công ty",IF(OR(NOT(ISNUMBER($E401)),$E401&gt;TODAY()),"Ngày vào công ty không hợp lệ","")),IF($G401="","Thiếu phòng ban",""),IF($I401="","Thiếu chức danh",""),IF(AND($M401&lt;&gt;"",COUNTIF('01_HO_SO'!$C$6:$C$505,$M401)=0),"Mã quản lý không tồn tại",""),IF(AND($M401&lt;&gt;"",$M401=$C401),"Không thể tự quản lý chính mình",""),IF(OR($N401&lt;0,$N401&gt;1000000000),"Lương cơ bản ngoài phạm vi","")))</f>
        <v/>
      </c>
      <c r="C401" s="20" t="n"/>
      <c r="D401" s="21" t="n"/>
      <c r="E401" s="22" t="n"/>
      <c r="F401" s="21" t="n"/>
      <c r="G401" s="21" t="n"/>
      <c r="H401" s="21" t="n"/>
      <c r="I401" s="21" t="n"/>
      <c r="J401" s="19">
        <f>IF($I401="","",IFERROR(INDEX(DANH_MUC!$D$4:$D$1000,MATCH($I401,DANH_MUC!$C$4:$C$1000,0)),""))</f>
        <v/>
      </c>
      <c r="K401" s="21" t="n"/>
      <c r="L401" s="21" t="n"/>
      <c r="M401" s="20" t="n"/>
      <c r="N401" s="23" t="n"/>
      <c r="O401" s="21" t="n"/>
    </row>
    <row r="402">
      <c r="A402" s="19">
        <f>IF($C402="","CHƯA NHẬP",IF($B402="","HỢP LỆ","LỖI"))</f>
        <v/>
      </c>
      <c r="B402" s="19">
        <f>IF($C402="","",TEXTJOIN(" | ",TRUE,IF(COUNTIF('01_HO_SO'!$C$6:$C$505,$C402)=0,"Mã chưa có ở Bước 1",""),IF(COUNTIF($C$6:$C$505,$C402)&gt;1,"Trùng mã trong thông tin công việc",""),IF($D402="","Thiếu trạng thái làm việc",""),IF($E402="","Thiếu ngày vào công ty",IF(OR(NOT(ISNUMBER($E402)),$E402&gt;TODAY()),"Ngày vào công ty không hợp lệ","")),IF($G402="","Thiếu phòng ban",""),IF($I402="","Thiếu chức danh",""),IF(AND($M402&lt;&gt;"",COUNTIF('01_HO_SO'!$C$6:$C$505,$M402)=0),"Mã quản lý không tồn tại",""),IF(AND($M402&lt;&gt;"",$M402=$C402),"Không thể tự quản lý chính mình",""),IF(OR($N402&lt;0,$N402&gt;1000000000),"Lương cơ bản ngoài phạm vi","")))</f>
        <v/>
      </c>
      <c r="C402" s="20" t="n"/>
      <c r="D402" s="21" t="n"/>
      <c r="E402" s="22" t="n"/>
      <c r="F402" s="21" t="n"/>
      <c r="G402" s="21" t="n"/>
      <c r="H402" s="21" t="n"/>
      <c r="I402" s="21" t="n"/>
      <c r="J402" s="19">
        <f>IF($I402="","",IFERROR(INDEX(DANH_MUC!$D$4:$D$1000,MATCH($I402,DANH_MUC!$C$4:$C$1000,0)),""))</f>
        <v/>
      </c>
      <c r="K402" s="21" t="n"/>
      <c r="L402" s="21" t="n"/>
      <c r="M402" s="20" t="n"/>
      <c r="N402" s="23" t="n"/>
      <c r="O402" s="21" t="n"/>
    </row>
    <row r="403">
      <c r="A403" s="19">
        <f>IF($C403="","CHƯA NHẬP",IF($B403="","HỢP LỆ","LỖI"))</f>
        <v/>
      </c>
      <c r="B403" s="19">
        <f>IF($C403="","",TEXTJOIN(" | ",TRUE,IF(COUNTIF('01_HO_SO'!$C$6:$C$505,$C403)=0,"Mã chưa có ở Bước 1",""),IF(COUNTIF($C$6:$C$505,$C403)&gt;1,"Trùng mã trong thông tin công việc",""),IF($D403="","Thiếu trạng thái làm việc",""),IF($E403="","Thiếu ngày vào công ty",IF(OR(NOT(ISNUMBER($E403)),$E403&gt;TODAY()),"Ngày vào công ty không hợp lệ","")),IF($G403="","Thiếu phòng ban",""),IF($I403="","Thiếu chức danh",""),IF(AND($M403&lt;&gt;"",COUNTIF('01_HO_SO'!$C$6:$C$505,$M403)=0),"Mã quản lý không tồn tại",""),IF(AND($M403&lt;&gt;"",$M403=$C403),"Không thể tự quản lý chính mình",""),IF(OR($N403&lt;0,$N403&gt;1000000000),"Lương cơ bản ngoài phạm vi","")))</f>
        <v/>
      </c>
      <c r="C403" s="20" t="n"/>
      <c r="D403" s="21" t="n"/>
      <c r="E403" s="22" t="n"/>
      <c r="F403" s="21" t="n"/>
      <c r="G403" s="21" t="n"/>
      <c r="H403" s="21" t="n"/>
      <c r="I403" s="21" t="n"/>
      <c r="J403" s="19">
        <f>IF($I403="","",IFERROR(INDEX(DANH_MUC!$D$4:$D$1000,MATCH($I403,DANH_MUC!$C$4:$C$1000,0)),""))</f>
        <v/>
      </c>
      <c r="K403" s="21" t="n"/>
      <c r="L403" s="21" t="n"/>
      <c r="M403" s="20" t="n"/>
      <c r="N403" s="23" t="n"/>
      <c r="O403" s="21" t="n"/>
    </row>
    <row r="404">
      <c r="A404" s="19">
        <f>IF($C404="","CHƯA NHẬP",IF($B404="","HỢP LỆ","LỖI"))</f>
        <v/>
      </c>
      <c r="B404" s="19">
        <f>IF($C404="","",TEXTJOIN(" | ",TRUE,IF(COUNTIF('01_HO_SO'!$C$6:$C$505,$C404)=0,"Mã chưa có ở Bước 1",""),IF(COUNTIF($C$6:$C$505,$C404)&gt;1,"Trùng mã trong thông tin công việc",""),IF($D404="","Thiếu trạng thái làm việc",""),IF($E404="","Thiếu ngày vào công ty",IF(OR(NOT(ISNUMBER($E404)),$E404&gt;TODAY()),"Ngày vào công ty không hợp lệ","")),IF($G404="","Thiếu phòng ban",""),IF($I404="","Thiếu chức danh",""),IF(AND($M404&lt;&gt;"",COUNTIF('01_HO_SO'!$C$6:$C$505,$M404)=0),"Mã quản lý không tồn tại",""),IF(AND($M404&lt;&gt;"",$M404=$C404),"Không thể tự quản lý chính mình",""),IF(OR($N404&lt;0,$N404&gt;1000000000),"Lương cơ bản ngoài phạm vi","")))</f>
        <v/>
      </c>
      <c r="C404" s="20" t="n"/>
      <c r="D404" s="21" t="n"/>
      <c r="E404" s="22" t="n"/>
      <c r="F404" s="21" t="n"/>
      <c r="G404" s="21" t="n"/>
      <c r="H404" s="21" t="n"/>
      <c r="I404" s="21" t="n"/>
      <c r="J404" s="19">
        <f>IF($I404="","",IFERROR(INDEX(DANH_MUC!$D$4:$D$1000,MATCH($I404,DANH_MUC!$C$4:$C$1000,0)),""))</f>
        <v/>
      </c>
      <c r="K404" s="21" t="n"/>
      <c r="L404" s="21" t="n"/>
      <c r="M404" s="20" t="n"/>
      <c r="N404" s="23" t="n"/>
      <c r="O404" s="21" t="n"/>
    </row>
    <row r="405">
      <c r="A405" s="19">
        <f>IF($C405="","CHƯA NHẬP",IF($B405="","HỢP LỆ","LỖI"))</f>
        <v/>
      </c>
      <c r="B405" s="19">
        <f>IF($C405="","",TEXTJOIN(" | ",TRUE,IF(COUNTIF('01_HO_SO'!$C$6:$C$505,$C405)=0,"Mã chưa có ở Bước 1",""),IF(COUNTIF($C$6:$C$505,$C405)&gt;1,"Trùng mã trong thông tin công việc",""),IF($D405="","Thiếu trạng thái làm việc",""),IF($E405="","Thiếu ngày vào công ty",IF(OR(NOT(ISNUMBER($E405)),$E405&gt;TODAY()),"Ngày vào công ty không hợp lệ","")),IF($G405="","Thiếu phòng ban",""),IF($I405="","Thiếu chức danh",""),IF(AND($M405&lt;&gt;"",COUNTIF('01_HO_SO'!$C$6:$C$505,$M405)=0),"Mã quản lý không tồn tại",""),IF(AND($M405&lt;&gt;"",$M405=$C405),"Không thể tự quản lý chính mình",""),IF(OR($N405&lt;0,$N405&gt;1000000000),"Lương cơ bản ngoài phạm vi","")))</f>
        <v/>
      </c>
      <c r="C405" s="20" t="n"/>
      <c r="D405" s="21" t="n"/>
      <c r="E405" s="22" t="n"/>
      <c r="F405" s="21" t="n"/>
      <c r="G405" s="21" t="n"/>
      <c r="H405" s="21" t="n"/>
      <c r="I405" s="21" t="n"/>
      <c r="J405" s="19">
        <f>IF($I405="","",IFERROR(INDEX(DANH_MUC!$D$4:$D$1000,MATCH($I405,DANH_MUC!$C$4:$C$1000,0)),""))</f>
        <v/>
      </c>
      <c r="K405" s="21" t="n"/>
      <c r="L405" s="21" t="n"/>
      <c r="M405" s="20" t="n"/>
      <c r="N405" s="23" t="n"/>
      <c r="O405" s="21" t="n"/>
    </row>
    <row r="406">
      <c r="A406" s="19">
        <f>IF($C406="","CHƯA NHẬP",IF($B406="","HỢP LỆ","LỖI"))</f>
        <v/>
      </c>
      <c r="B406" s="19">
        <f>IF($C406="","",TEXTJOIN(" | ",TRUE,IF(COUNTIF('01_HO_SO'!$C$6:$C$505,$C406)=0,"Mã chưa có ở Bước 1",""),IF(COUNTIF($C$6:$C$505,$C406)&gt;1,"Trùng mã trong thông tin công việc",""),IF($D406="","Thiếu trạng thái làm việc",""),IF($E406="","Thiếu ngày vào công ty",IF(OR(NOT(ISNUMBER($E406)),$E406&gt;TODAY()),"Ngày vào công ty không hợp lệ","")),IF($G406="","Thiếu phòng ban",""),IF($I406="","Thiếu chức danh",""),IF(AND($M406&lt;&gt;"",COUNTIF('01_HO_SO'!$C$6:$C$505,$M406)=0),"Mã quản lý không tồn tại",""),IF(AND($M406&lt;&gt;"",$M406=$C406),"Không thể tự quản lý chính mình",""),IF(OR($N406&lt;0,$N406&gt;1000000000),"Lương cơ bản ngoài phạm vi","")))</f>
        <v/>
      </c>
      <c r="C406" s="20" t="n"/>
      <c r="D406" s="21" t="n"/>
      <c r="E406" s="22" t="n"/>
      <c r="F406" s="21" t="n"/>
      <c r="G406" s="21" t="n"/>
      <c r="H406" s="21" t="n"/>
      <c r="I406" s="21" t="n"/>
      <c r="J406" s="19">
        <f>IF($I406="","",IFERROR(INDEX(DANH_MUC!$D$4:$D$1000,MATCH($I406,DANH_MUC!$C$4:$C$1000,0)),""))</f>
        <v/>
      </c>
      <c r="K406" s="21" t="n"/>
      <c r="L406" s="21" t="n"/>
      <c r="M406" s="20" t="n"/>
      <c r="N406" s="23" t="n"/>
      <c r="O406" s="21" t="n"/>
    </row>
    <row r="407">
      <c r="A407" s="19">
        <f>IF($C407="","CHƯA NHẬP",IF($B407="","HỢP LỆ","LỖI"))</f>
        <v/>
      </c>
      <c r="B407" s="19">
        <f>IF($C407="","",TEXTJOIN(" | ",TRUE,IF(COUNTIF('01_HO_SO'!$C$6:$C$505,$C407)=0,"Mã chưa có ở Bước 1",""),IF(COUNTIF($C$6:$C$505,$C407)&gt;1,"Trùng mã trong thông tin công việc",""),IF($D407="","Thiếu trạng thái làm việc",""),IF($E407="","Thiếu ngày vào công ty",IF(OR(NOT(ISNUMBER($E407)),$E407&gt;TODAY()),"Ngày vào công ty không hợp lệ","")),IF($G407="","Thiếu phòng ban",""),IF($I407="","Thiếu chức danh",""),IF(AND($M407&lt;&gt;"",COUNTIF('01_HO_SO'!$C$6:$C$505,$M407)=0),"Mã quản lý không tồn tại",""),IF(AND($M407&lt;&gt;"",$M407=$C407),"Không thể tự quản lý chính mình",""),IF(OR($N407&lt;0,$N407&gt;1000000000),"Lương cơ bản ngoài phạm vi","")))</f>
        <v/>
      </c>
      <c r="C407" s="20" t="n"/>
      <c r="D407" s="21" t="n"/>
      <c r="E407" s="22" t="n"/>
      <c r="F407" s="21" t="n"/>
      <c r="G407" s="21" t="n"/>
      <c r="H407" s="21" t="n"/>
      <c r="I407" s="21" t="n"/>
      <c r="J407" s="19">
        <f>IF($I407="","",IFERROR(INDEX(DANH_MUC!$D$4:$D$1000,MATCH($I407,DANH_MUC!$C$4:$C$1000,0)),""))</f>
        <v/>
      </c>
      <c r="K407" s="21" t="n"/>
      <c r="L407" s="21" t="n"/>
      <c r="M407" s="20" t="n"/>
      <c r="N407" s="23" t="n"/>
      <c r="O407" s="21" t="n"/>
    </row>
    <row r="408">
      <c r="A408" s="19">
        <f>IF($C408="","CHƯA NHẬP",IF($B408="","HỢP LỆ","LỖI"))</f>
        <v/>
      </c>
      <c r="B408" s="19">
        <f>IF($C408="","",TEXTJOIN(" | ",TRUE,IF(COUNTIF('01_HO_SO'!$C$6:$C$505,$C408)=0,"Mã chưa có ở Bước 1",""),IF(COUNTIF($C$6:$C$505,$C408)&gt;1,"Trùng mã trong thông tin công việc",""),IF($D408="","Thiếu trạng thái làm việc",""),IF($E408="","Thiếu ngày vào công ty",IF(OR(NOT(ISNUMBER($E408)),$E408&gt;TODAY()),"Ngày vào công ty không hợp lệ","")),IF($G408="","Thiếu phòng ban",""),IF($I408="","Thiếu chức danh",""),IF(AND($M408&lt;&gt;"",COUNTIF('01_HO_SO'!$C$6:$C$505,$M408)=0),"Mã quản lý không tồn tại",""),IF(AND($M408&lt;&gt;"",$M408=$C408),"Không thể tự quản lý chính mình",""),IF(OR($N408&lt;0,$N408&gt;1000000000),"Lương cơ bản ngoài phạm vi","")))</f>
        <v/>
      </c>
      <c r="C408" s="20" t="n"/>
      <c r="D408" s="21" t="n"/>
      <c r="E408" s="22" t="n"/>
      <c r="F408" s="21" t="n"/>
      <c r="G408" s="21" t="n"/>
      <c r="H408" s="21" t="n"/>
      <c r="I408" s="21" t="n"/>
      <c r="J408" s="19">
        <f>IF($I408="","",IFERROR(INDEX(DANH_MUC!$D$4:$D$1000,MATCH($I408,DANH_MUC!$C$4:$C$1000,0)),""))</f>
        <v/>
      </c>
      <c r="K408" s="21" t="n"/>
      <c r="L408" s="21" t="n"/>
      <c r="M408" s="20" t="n"/>
      <c r="N408" s="23" t="n"/>
      <c r="O408" s="21" t="n"/>
    </row>
    <row r="409">
      <c r="A409" s="19">
        <f>IF($C409="","CHƯA NHẬP",IF($B409="","HỢP LỆ","LỖI"))</f>
        <v/>
      </c>
      <c r="B409" s="19">
        <f>IF($C409="","",TEXTJOIN(" | ",TRUE,IF(COUNTIF('01_HO_SO'!$C$6:$C$505,$C409)=0,"Mã chưa có ở Bước 1",""),IF(COUNTIF($C$6:$C$505,$C409)&gt;1,"Trùng mã trong thông tin công việc",""),IF($D409="","Thiếu trạng thái làm việc",""),IF($E409="","Thiếu ngày vào công ty",IF(OR(NOT(ISNUMBER($E409)),$E409&gt;TODAY()),"Ngày vào công ty không hợp lệ","")),IF($G409="","Thiếu phòng ban",""),IF($I409="","Thiếu chức danh",""),IF(AND($M409&lt;&gt;"",COUNTIF('01_HO_SO'!$C$6:$C$505,$M409)=0),"Mã quản lý không tồn tại",""),IF(AND($M409&lt;&gt;"",$M409=$C409),"Không thể tự quản lý chính mình",""),IF(OR($N409&lt;0,$N409&gt;1000000000),"Lương cơ bản ngoài phạm vi","")))</f>
        <v/>
      </c>
      <c r="C409" s="20" t="n"/>
      <c r="D409" s="21" t="n"/>
      <c r="E409" s="22" t="n"/>
      <c r="F409" s="21" t="n"/>
      <c r="G409" s="21" t="n"/>
      <c r="H409" s="21" t="n"/>
      <c r="I409" s="21" t="n"/>
      <c r="J409" s="19">
        <f>IF($I409="","",IFERROR(INDEX(DANH_MUC!$D$4:$D$1000,MATCH($I409,DANH_MUC!$C$4:$C$1000,0)),""))</f>
        <v/>
      </c>
      <c r="K409" s="21" t="n"/>
      <c r="L409" s="21" t="n"/>
      <c r="M409" s="20" t="n"/>
      <c r="N409" s="23" t="n"/>
      <c r="O409" s="21" t="n"/>
    </row>
    <row r="410">
      <c r="A410" s="19">
        <f>IF($C410="","CHƯA NHẬP",IF($B410="","HỢP LỆ","LỖI"))</f>
        <v/>
      </c>
      <c r="B410" s="19">
        <f>IF($C410="","",TEXTJOIN(" | ",TRUE,IF(COUNTIF('01_HO_SO'!$C$6:$C$505,$C410)=0,"Mã chưa có ở Bước 1",""),IF(COUNTIF($C$6:$C$505,$C410)&gt;1,"Trùng mã trong thông tin công việc",""),IF($D410="","Thiếu trạng thái làm việc",""),IF($E410="","Thiếu ngày vào công ty",IF(OR(NOT(ISNUMBER($E410)),$E410&gt;TODAY()),"Ngày vào công ty không hợp lệ","")),IF($G410="","Thiếu phòng ban",""),IF($I410="","Thiếu chức danh",""),IF(AND($M410&lt;&gt;"",COUNTIF('01_HO_SO'!$C$6:$C$505,$M410)=0),"Mã quản lý không tồn tại",""),IF(AND($M410&lt;&gt;"",$M410=$C410),"Không thể tự quản lý chính mình",""),IF(OR($N410&lt;0,$N410&gt;1000000000),"Lương cơ bản ngoài phạm vi","")))</f>
        <v/>
      </c>
      <c r="C410" s="20" t="n"/>
      <c r="D410" s="21" t="n"/>
      <c r="E410" s="22" t="n"/>
      <c r="F410" s="21" t="n"/>
      <c r="G410" s="21" t="n"/>
      <c r="H410" s="21" t="n"/>
      <c r="I410" s="21" t="n"/>
      <c r="J410" s="19">
        <f>IF($I410="","",IFERROR(INDEX(DANH_MUC!$D$4:$D$1000,MATCH($I410,DANH_MUC!$C$4:$C$1000,0)),""))</f>
        <v/>
      </c>
      <c r="K410" s="21" t="n"/>
      <c r="L410" s="21" t="n"/>
      <c r="M410" s="20" t="n"/>
      <c r="N410" s="23" t="n"/>
      <c r="O410" s="21" t="n"/>
    </row>
    <row r="411">
      <c r="A411" s="19">
        <f>IF($C411="","CHƯA NHẬP",IF($B411="","HỢP LỆ","LỖI"))</f>
        <v/>
      </c>
      <c r="B411" s="19">
        <f>IF($C411="","",TEXTJOIN(" | ",TRUE,IF(COUNTIF('01_HO_SO'!$C$6:$C$505,$C411)=0,"Mã chưa có ở Bước 1",""),IF(COUNTIF($C$6:$C$505,$C411)&gt;1,"Trùng mã trong thông tin công việc",""),IF($D411="","Thiếu trạng thái làm việc",""),IF($E411="","Thiếu ngày vào công ty",IF(OR(NOT(ISNUMBER($E411)),$E411&gt;TODAY()),"Ngày vào công ty không hợp lệ","")),IF($G411="","Thiếu phòng ban",""),IF($I411="","Thiếu chức danh",""),IF(AND($M411&lt;&gt;"",COUNTIF('01_HO_SO'!$C$6:$C$505,$M411)=0),"Mã quản lý không tồn tại",""),IF(AND($M411&lt;&gt;"",$M411=$C411),"Không thể tự quản lý chính mình",""),IF(OR($N411&lt;0,$N411&gt;1000000000),"Lương cơ bản ngoài phạm vi","")))</f>
        <v/>
      </c>
      <c r="C411" s="20" t="n"/>
      <c r="D411" s="21" t="n"/>
      <c r="E411" s="22" t="n"/>
      <c r="F411" s="21" t="n"/>
      <c r="G411" s="21" t="n"/>
      <c r="H411" s="21" t="n"/>
      <c r="I411" s="21" t="n"/>
      <c r="J411" s="19">
        <f>IF($I411="","",IFERROR(INDEX(DANH_MUC!$D$4:$D$1000,MATCH($I411,DANH_MUC!$C$4:$C$1000,0)),""))</f>
        <v/>
      </c>
      <c r="K411" s="21" t="n"/>
      <c r="L411" s="21" t="n"/>
      <c r="M411" s="20" t="n"/>
      <c r="N411" s="23" t="n"/>
      <c r="O411" s="21" t="n"/>
    </row>
    <row r="412">
      <c r="A412" s="19">
        <f>IF($C412="","CHƯA NHẬP",IF($B412="","HỢP LỆ","LỖI"))</f>
        <v/>
      </c>
      <c r="B412" s="19">
        <f>IF($C412="","",TEXTJOIN(" | ",TRUE,IF(COUNTIF('01_HO_SO'!$C$6:$C$505,$C412)=0,"Mã chưa có ở Bước 1",""),IF(COUNTIF($C$6:$C$505,$C412)&gt;1,"Trùng mã trong thông tin công việc",""),IF($D412="","Thiếu trạng thái làm việc",""),IF($E412="","Thiếu ngày vào công ty",IF(OR(NOT(ISNUMBER($E412)),$E412&gt;TODAY()),"Ngày vào công ty không hợp lệ","")),IF($G412="","Thiếu phòng ban",""),IF($I412="","Thiếu chức danh",""),IF(AND($M412&lt;&gt;"",COUNTIF('01_HO_SO'!$C$6:$C$505,$M412)=0),"Mã quản lý không tồn tại",""),IF(AND($M412&lt;&gt;"",$M412=$C412),"Không thể tự quản lý chính mình",""),IF(OR($N412&lt;0,$N412&gt;1000000000),"Lương cơ bản ngoài phạm vi","")))</f>
        <v/>
      </c>
      <c r="C412" s="20" t="n"/>
      <c r="D412" s="21" t="n"/>
      <c r="E412" s="22" t="n"/>
      <c r="F412" s="21" t="n"/>
      <c r="G412" s="21" t="n"/>
      <c r="H412" s="21" t="n"/>
      <c r="I412" s="21" t="n"/>
      <c r="J412" s="19">
        <f>IF($I412="","",IFERROR(INDEX(DANH_MUC!$D$4:$D$1000,MATCH($I412,DANH_MUC!$C$4:$C$1000,0)),""))</f>
        <v/>
      </c>
      <c r="K412" s="21" t="n"/>
      <c r="L412" s="21" t="n"/>
      <c r="M412" s="20" t="n"/>
      <c r="N412" s="23" t="n"/>
      <c r="O412" s="21" t="n"/>
    </row>
    <row r="413">
      <c r="A413" s="19">
        <f>IF($C413="","CHƯA NHẬP",IF($B413="","HỢP LỆ","LỖI"))</f>
        <v/>
      </c>
      <c r="B413" s="19">
        <f>IF($C413="","",TEXTJOIN(" | ",TRUE,IF(COUNTIF('01_HO_SO'!$C$6:$C$505,$C413)=0,"Mã chưa có ở Bước 1",""),IF(COUNTIF($C$6:$C$505,$C413)&gt;1,"Trùng mã trong thông tin công việc",""),IF($D413="","Thiếu trạng thái làm việc",""),IF($E413="","Thiếu ngày vào công ty",IF(OR(NOT(ISNUMBER($E413)),$E413&gt;TODAY()),"Ngày vào công ty không hợp lệ","")),IF($G413="","Thiếu phòng ban",""),IF($I413="","Thiếu chức danh",""),IF(AND($M413&lt;&gt;"",COUNTIF('01_HO_SO'!$C$6:$C$505,$M413)=0),"Mã quản lý không tồn tại",""),IF(AND($M413&lt;&gt;"",$M413=$C413),"Không thể tự quản lý chính mình",""),IF(OR($N413&lt;0,$N413&gt;1000000000),"Lương cơ bản ngoài phạm vi","")))</f>
        <v/>
      </c>
      <c r="C413" s="20" t="n"/>
      <c r="D413" s="21" t="n"/>
      <c r="E413" s="22" t="n"/>
      <c r="F413" s="21" t="n"/>
      <c r="G413" s="21" t="n"/>
      <c r="H413" s="21" t="n"/>
      <c r="I413" s="21" t="n"/>
      <c r="J413" s="19">
        <f>IF($I413="","",IFERROR(INDEX(DANH_MUC!$D$4:$D$1000,MATCH($I413,DANH_MUC!$C$4:$C$1000,0)),""))</f>
        <v/>
      </c>
      <c r="K413" s="21" t="n"/>
      <c r="L413" s="21" t="n"/>
      <c r="M413" s="20" t="n"/>
      <c r="N413" s="23" t="n"/>
      <c r="O413" s="21" t="n"/>
    </row>
    <row r="414">
      <c r="A414" s="19">
        <f>IF($C414="","CHƯA NHẬP",IF($B414="","HỢP LỆ","LỖI"))</f>
        <v/>
      </c>
      <c r="B414" s="19">
        <f>IF($C414="","",TEXTJOIN(" | ",TRUE,IF(COUNTIF('01_HO_SO'!$C$6:$C$505,$C414)=0,"Mã chưa có ở Bước 1",""),IF(COUNTIF($C$6:$C$505,$C414)&gt;1,"Trùng mã trong thông tin công việc",""),IF($D414="","Thiếu trạng thái làm việc",""),IF($E414="","Thiếu ngày vào công ty",IF(OR(NOT(ISNUMBER($E414)),$E414&gt;TODAY()),"Ngày vào công ty không hợp lệ","")),IF($G414="","Thiếu phòng ban",""),IF($I414="","Thiếu chức danh",""),IF(AND($M414&lt;&gt;"",COUNTIF('01_HO_SO'!$C$6:$C$505,$M414)=0),"Mã quản lý không tồn tại",""),IF(AND($M414&lt;&gt;"",$M414=$C414),"Không thể tự quản lý chính mình",""),IF(OR($N414&lt;0,$N414&gt;1000000000),"Lương cơ bản ngoài phạm vi","")))</f>
        <v/>
      </c>
      <c r="C414" s="20" t="n"/>
      <c r="D414" s="21" t="n"/>
      <c r="E414" s="22" t="n"/>
      <c r="F414" s="21" t="n"/>
      <c r="G414" s="21" t="n"/>
      <c r="H414" s="21" t="n"/>
      <c r="I414" s="21" t="n"/>
      <c r="J414" s="19">
        <f>IF($I414="","",IFERROR(INDEX(DANH_MUC!$D$4:$D$1000,MATCH($I414,DANH_MUC!$C$4:$C$1000,0)),""))</f>
        <v/>
      </c>
      <c r="K414" s="21" t="n"/>
      <c r="L414" s="21" t="n"/>
      <c r="M414" s="20" t="n"/>
      <c r="N414" s="23" t="n"/>
      <c r="O414" s="21" t="n"/>
    </row>
    <row r="415">
      <c r="A415" s="19">
        <f>IF($C415="","CHƯA NHẬP",IF($B415="","HỢP LỆ","LỖI"))</f>
        <v/>
      </c>
      <c r="B415" s="19">
        <f>IF($C415="","",TEXTJOIN(" | ",TRUE,IF(COUNTIF('01_HO_SO'!$C$6:$C$505,$C415)=0,"Mã chưa có ở Bước 1",""),IF(COUNTIF($C$6:$C$505,$C415)&gt;1,"Trùng mã trong thông tin công việc",""),IF($D415="","Thiếu trạng thái làm việc",""),IF($E415="","Thiếu ngày vào công ty",IF(OR(NOT(ISNUMBER($E415)),$E415&gt;TODAY()),"Ngày vào công ty không hợp lệ","")),IF($G415="","Thiếu phòng ban",""),IF($I415="","Thiếu chức danh",""),IF(AND($M415&lt;&gt;"",COUNTIF('01_HO_SO'!$C$6:$C$505,$M415)=0),"Mã quản lý không tồn tại",""),IF(AND($M415&lt;&gt;"",$M415=$C415),"Không thể tự quản lý chính mình",""),IF(OR($N415&lt;0,$N415&gt;1000000000),"Lương cơ bản ngoài phạm vi","")))</f>
        <v/>
      </c>
      <c r="C415" s="20" t="n"/>
      <c r="D415" s="21" t="n"/>
      <c r="E415" s="22" t="n"/>
      <c r="F415" s="21" t="n"/>
      <c r="G415" s="21" t="n"/>
      <c r="H415" s="21" t="n"/>
      <c r="I415" s="21" t="n"/>
      <c r="J415" s="19">
        <f>IF($I415="","",IFERROR(INDEX(DANH_MUC!$D$4:$D$1000,MATCH($I415,DANH_MUC!$C$4:$C$1000,0)),""))</f>
        <v/>
      </c>
      <c r="K415" s="21" t="n"/>
      <c r="L415" s="21" t="n"/>
      <c r="M415" s="20" t="n"/>
      <c r="N415" s="23" t="n"/>
      <c r="O415" s="21" t="n"/>
    </row>
    <row r="416">
      <c r="A416" s="19">
        <f>IF($C416="","CHƯA NHẬP",IF($B416="","HỢP LỆ","LỖI"))</f>
        <v/>
      </c>
      <c r="B416" s="19">
        <f>IF($C416="","",TEXTJOIN(" | ",TRUE,IF(COUNTIF('01_HO_SO'!$C$6:$C$505,$C416)=0,"Mã chưa có ở Bước 1",""),IF(COUNTIF($C$6:$C$505,$C416)&gt;1,"Trùng mã trong thông tin công việc",""),IF($D416="","Thiếu trạng thái làm việc",""),IF($E416="","Thiếu ngày vào công ty",IF(OR(NOT(ISNUMBER($E416)),$E416&gt;TODAY()),"Ngày vào công ty không hợp lệ","")),IF($G416="","Thiếu phòng ban",""),IF($I416="","Thiếu chức danh",""),IF(AND($M416&lt;&gt;"",COUNTIF('01_HO_SO'!$C$6:$C$505,$M416)=0),"Mã quản lý không tồn tại",""),IF(AND($M416&lt;&gt;"",$M416=$C416),"Không thể tự quản lý chính mình",""),IF(OR($N416&lt;0,$N416&gt;1000000000),"Lương cơ bản ngoài phạm vi","")))</f>
        <v/>
      </c>
      <c r="C416" s="20" t="n"/>
      <c r="D416" s="21" t="n"/>
      <c r="E416" s="22" t="n"/>
      <c r="F416" s="21" t="n"/>
      <c r="G416" s="21" t="n"/>
      <c r="H416" s="21" t="n"/>
      <c r="I416" s="21" t="n"/>
      <c r="J416" s="19">
        <f>IF($I416="","",IFERROR(INDEX(DANH_MUC!$D$4:$D$1000,MATCH($I416,DANH_MUC!$C$4:$C$1000,0)),""))</f>
        <v/>
      </c>
      <c r="K416" s="21" t="n"/>
      <c r="L416" s="21" t="n"/>
      <c r="M416" s="20" t="n"/>
      <c r="N416" s="23" t="n"/>
      <c r="O416" s="21" t="n"/>
    </row>
    <row r="417">
      <c r="A417" s="19">
        <f>IF($C417="","CHƯA NHẬP",IF($B417="","HỢP LỆ","LỖI"))</f>
        <v/>
      </c>
      <c r="B417" s="19">
        <f>IF($C417="","",TEXTJOIN(" | ",TRUE,IF(COUNTIF('01_HO_SO'!$C$6:$C$505,$C417)=0,"Mã chưa có ở Bước 1",""),IF(COUNTIF($C$6:$C$505,$C417)&gt;1,"Trùng mã trong thông tin công việc",""),IF($D417="","Thiếu trạng thái làm việc",""),IF($E417="","Thiếu ngày vào công ty",IF(OR(NOT(ISNUMBER($E417)),$E417&gt;TODAY()),"Ngày vào công ty không hợp lệ","")),IF($G417="","Thiếu phòng ban",""),IF($I417="","Thiếu chức danh",""),IF(AND($M417&lt;&gt;"",COUNTIF('01_HO_SO'!$C$6:$C$505,$M417)=0),"Mã quản lý không tồn tại",""),IF(AND($M417&lt;&gt;"",$M417=$C417),"Không thể tự quản lý chính mình",""),IF(OR($N417&lt;0,$N417&gt;1000000000),"Lương cơ bản ngoài phạm vi","")))</f>
        <v/>
      </c>
      <c r="C417" s="20" t="n"/>
      <c r="D417" s="21" t="n"/>
      <c r="E417" s="22" t="n"/>
      <c r="F417" s="21" t="n"/>
      <c r="G417" s="21" t="n"/>
      <c r="H417" s="21" t="n"/>
      <c r="I417" s="21" t="n"/>
      <c r="J417" s="19">
        <f>IF($I417="","",IFERROR(INDEX(DANH_MUC!$D$4:$D$1000,MATCH($I417,DANH_MUC!$C$4:$C$1000,0)),""))</f>
        <v/>
      </c>
      <c r="K417" s="21" t="n"/>
      <c r="L417" s="21" t="n"/>
      <c r="M417" s="20" t="n"/>
      <c r="N417" s="23" t="n"/>
      <c r="O417" s="21" t="n"/>
    </row>
    <row r="418">
      <c r="A418" s="19">
        <f>IF($C418="","CHƯA NHẬP",IF($B418="","HỢP LỆ","LỖI"))</f>
        <v/>
      </c>
      <c r="B418" s="19">
        <f>IF($C418="","",TEXTJOIN(" | ",TRUE,IF(COUNTIF('01_HO_SO'!$C$6:$C$505,$C418)=0,"Mã chưa có ở Bước 1",""),IF(COUNTIF($C$6:$C$505,$C418)&gt;1,"Trùng mã trong thông tin công việc",""),IF($D418="","Thiếu trạng thái làm việc",""),IF($E418="","Thiếu ngày vào công ty",IF(OR(NOT(ISNUMBER($E418)),$E418&gt;TODAY()),"Ngày vào công ty không hợp lệ","")),IF($G418="","Thiếu phòng ban",""),IF($I418="","Thiếu chức danh",""),IF(AND($M418&lt;&gt;"",COUNTIF('01_HO_SO'!$C$6:$C$505,$M418)=0),"Mã quản lý không tồn tại",""),IF(AND($M418&lt;&gt;"",$M418=$C418),"Không thể tự quản lý chính mình",""),IF(OR($N418&lt;0,$N418&gt;1000000000),"Lương cơ bản ngoài phạm vi","")))</f>
        <v/>
      </c>
      <c r="C418" s="20" t="n"/>
      <c r="D418" s="21" t="n"/>
      <c r="E418" s="22" t="n"/>
      <c r="F418" s="21" t="n"/>
      <c r="G418" s="21" t="n"/>
      <c r="H418" s="21" t="n"/>
      <c r="I418" s="21" t="n"/>
      <c r="J418" s="19">
        <f>IF($I418="","",IFERROR(INDEX(DANH_MUC!$D$4:$D$1000,MATCH($I418,DANH_MUC!$C$4:$C$1000,0)),""))</f>
        <v/>
      </c>
      <c r="K418" s="21" t="n"/>
      <c r="L418" s="21" t="n"/>
      <c r="M418" s="20" t="n"/>
      <c r="N418" s="23" t="n"/>
      <c r="O418" s="21" t="n"/>
    </row>
    <row r="419">
      <c r="A419" s="19">
        <f>IF($C419="","CHƯA NHẬP",IF($B419="","HỢP LỆ","LỖI"))</f>
        <v/>
      </c>
      <c r="B419" s="19">
        <f>IF($C419="","",TEXTJOIN(" | ",TRUE,IF(COUNTIF('01_HO_SO'!$C$6:$C$505,$C419)=0,"Mã chưa có ở Bước 1",""),IF(COUNTIF($C$6:$C$505,$C419)&gt;1,"Trùng mã trong thông tin công việc",""),IF($D419="","Thiếu trạng thái làm việc",""),IF($E419="","Thiếu ngày vào công ty",IF(OR(NOT(ISNUMBER($E419)),$E419&gt;TODAY()),"Ngày vào công ty không hợp lệ","")),IF($G419="","Thiếu phòng ban",""),IF($I419="","Thiếu chức danh",""),IF(AND($M419&lt;&gt;"",COUNTIF('01_HO_SO'!$C$6:$C$505,$M419)=0),"Mã quản lý không tồn tại",""),IF(AND($M419&lt;&gt;"",$M419=$C419),"Không thể tự quản lý chính mình",""),IF(OR($N419&lt;0,$N419&gt;1000000000),"Lương cơ bản ngoài phạm vi","")))</f>
        <v/>
      </c>
      <c r="C419" s="20" t="n"/>
      <c r="D419" s="21" t="n"/>
      <c r="E419" s="22" t="n"/>
      <c r="F419" s="21" t="n"/>
      <c r="G419" s="21" t="n"/>
      <c r="H419" s="21" t="n"/>
      <c r="I419" s="21" t="n"/>
      <c r="J419" s="19">
        <f>IF($I419="","",IFERROR(INDEX(DANH_MUC!$D$4:$D$1000,MATCH($I419,DANH_MUC!$C$4:$C$1000,0)),""))</f>
        <v/>
      </c>
      <c r="K419" s="21" t="n"/>
      <c r="L419" s="21" t="n"/>
      <c r="M419" s="20" t="n"/>
      <c r="N419" s="23" t="n"/>
      <c r="O419" s="21" t="n"/>
    </row>
    <row r="420">
      <c r="A420" s="19">
        <f>IF($C420="","CHƯA NHẬP",IF($B420="","HỢP LỆ","LỖI"))</f>
        <v/>
      </c>
      <c r="B420" s="19">
        <f>IF($C420="","",TEXTJOIN(" | ",TRUE,IF(COUNTIF('01_HO_SO'!$C$6:$C$505,$C420)=0,"Mã chưa có ở Bước 1",""),IF(COUNTIF($C$6:$C$505,$C420)&gt;1,"Trùng mã trong thông tin công việc",""),IF($D420="","Thiếu trạng thái làm việc",""),IF($E420="","Thiếu ngày vào công ty",IF(OR(NOT(ISNUMBER($E420)),$E420&gt;TODAY()),"Ngày vào công ty không hợp lệ","")),IF($G420="","Thiếu phòng ban",""),IF($I420="","Thiếu chức danh",""),IF(AND($M420&lt;&gt;"",COUNTIF('01_HO_SO'!$C$6:$C$505,$M420)=0),"Mã quản lý không tồn tại",""),IF(AND($M420&lt;&gt;"",$M420=$C420),"Không thể tự quản lý chính mình",""),IF(OR($N420&lt;0,$N420&gt;1000000000),"Lương cơ bản ngoài phạm vi","")))</f>
        <v/>
      </c>
      <c r="C420" s="20" t="n"/>
      <c r="D420" s="21" t="n"/>
      <c r="E420" s="22" t="n"/>
      <c r="F420" s="21" t="n"/>
      <c r="G420" s="21" t="n"/>
      <c r="H420" s="21" t="n"/>
      <c r="I420" s="21" t="n"/>
      <c r="J420" s="19">
        <f>IF($I420="","",IFERROR(INDEX(DANH_MUC!$D$4:$D$1000,MATCH($I420,DANH_MUC!$C$4:$C$1000,0)),""))</f>
        <v/>
      </c>
      <c r="K420" s="21" t="n"/>
      <c r="L420" s="21" t="n"/>
      <c r="M420" s="20" t="n"/>
      <c r="N420" s="23" t="n"/>
      <c r="O420" s="21" t="n"/>
    </row>
    <row r="421">
      <c r="A421" s="19">
        <f>IF($C421="","CHƯA NHẬP",IF($B421="","HỢP LỆ","LỖI"))</f>
        <v/>
      </c>
      <c r="B421" s="19">
        <f>IF($C421="","",TEXTJOIN(" | ",TRUE,IF(COUNTIF('01_HO_SO'!$C$6:$C$505,$C421)=0,"Mã chưa có ở Bước 1",""),IF(COUNTIF($C$6:$C$505,$C421)&gt;1,"Trùng mã trong thông tin công việc",""),IF($D421="","Thiếu trạng thái làm việc",""),IF($E421="","Thiếu ngày vào công ty",IF(OR(NOT(ISNUMBER($E421)),$E421&gt;TODAY()),"Ngày vào công ty không hợp lệ","")),IF($G421="","Thiếu phòng ban",""),IF($I421="","Thiếu chức danh",""),IF(AND($M421&lt;&gt;"",COUNTIF('01_HO_SO'!$C$6:$C$505,$M421)=0),"Mã quản lý không tồn tại",""),IF(AND($M421&lt;&gt;"",$M421=$C421),"Không thể tự quản lý chính mình",""),IF(OR($N421&lt;0,$N421&gt;1000000000),"Lương cơ bản ngoài phạm vi","")))</f>
        <v/>
      </c>
      <c r="C421" s="20" t="n"/>
      <c r="D421" s="21" t="n"/>
      <c r="E421" s="22" t="n"/>
      <c r="F421" s="21" t="n"/>
      <c r="G421" s="21" t="n"/>
      <c r="H421" s="21" t="n"/>
      <c r="I421" s="21" t="n"/>
      <c r="J421" s="19">
        <f>IF($I421="","",IFERROR(INDEX(DANH_MUC!$D$4:$D$1000,MATCH($I421,DANH_MUC!$C$4:$C$1000,0)),""))</f>
        <v/>
      </c>
      <c r="K421" s="21" t="n"/>
      <c r="L421" s="21" t="n"/>
      <c r="M421" s="20" t="n"/>
      <c r="N421" s="23" t="n"/>
      <c r="O421" s="21" t="n"/>
    </row>
    <row r="422">
      <c r="A422" s="19">
        <f>IF($C422="","CHƯA NHẬP",IF($B422="","HỢP LỆ","LỖI"))</f>
        <v/>
      </c>
      <c r="B422" s="19">
        <f>IF($C422="","",TEXTJOIN(" | ",TRUE,IF(COUNTIF('01_HO_SO'!$C$6:$C$505,$C422)=0,"Mã chưa có ở Bước 1",""),IF(COUNTIF($C$6:$C$505,$C422)&gt;1,"Trùng mã trong thông tin công việc",""),IF($D422="","Thiếu trạng thái làm việc",""),IF($E422="","Thiếu ngày vào công ty",IF(OR(NOT(ISNUMBER($E422)),$E422&gt;TODAY()),"Ngày vào công ty không hợp lệ","")),IF($G422="","Thiếu phòng ban",""),IF($I422="","Thiếu chức danh",""),IF(AND($M422&lt;&gt;"",COUNTIF('01_HO_SO'!$C$6:$C$505,$M422)=0),"Mã quản lý không tồn tại",""),IF(AND($M422&lt;&gt;"",$M422=$C422),"Không thể tự quản lý chính mình",""),IF(OR($N422&lt;0,$N422&gt;1000000000),"Lương cơ bản ngoài phạm vi","")))</f>
        <v/>
      </c>
      <c r="C422" s="20" t="n"/>
      <c r="D422" s="21" t="n"/>
      <c r="E422" s="22" t="n"/>
      <c r="F422" s="21" t="n"/>
      <c r="G422" s="21" t="n"/>
      <c r="H422" s="21" t="n"/>
      <c r="I422" s="21" t="n"/>
      <c r="J422" s="19">
        <f>IF($I422="","",IFERROR(INDEX(DANH_MUC!$D$4:$D$1000,MATCH($I422,DANH_MUC!$C$4:$C$1000,0)),""))</f>
        <v/>
      </c>
      <c r="K422" s="21" t="n"/>
      <c r="L422" s="21" t="n"/>
      <c r="M422" s="20" t="n"/>
      <c r="N422" s="23" t="n"/>
      <c r="O422" s="21" t="n"/>
    </row>
    <row r="423">
      <c r="A423" s="19">
        <f>IF($C423="","CHƯA NHẬP",IF($B423="","HỢP LỆ","LỖI"))</f>
        <v/>
      </c>
      <c r="B423" s="19">
        <f>IF($C423="","",TEXTJOIN(" | ",TRUE,IF(COUNTIF('01_HO_SO'!$C$6:$C$505,$C423)=0,"Mã chưa có ở Bước 1",""),IF(COUNTIF($C$6:$C$505,$C423)&gt;1,"Trùng mã trong thông tin công việc",""),IF($D423="","Thiếu trạng thái làm việc",""),IF($E423="","Thiếu ngày vào công ty",IF(OR(NOT(ISNUMBER($E423)),$E423&gt;TODAY()),"Ngày vào công ty không hợp lệ","")),IF($G423="","Thiếu phòng ban",""),IF($I423="","Thiếu chức danh",""),IF(AND($M423&lt;&gt;"",COUNTIF('01_HO_SO'!$C$6:$C$505,$M423)=0),"Mã quản lý không tồn tại",""),IF(AND($M423&lt;&gt;"",$M423=$C423),"Không thể tự quản lý chính mình",""),IF(OR($N423&lt;0,$N423&gt;1000000000),"Lương cơ bản ngoài phạm vi","")))</f>
        <v/>
      </c>
      <c r="C423" s="20" t="n"/>
      <c r="D423" s="21" t="n"/>
      <c r="E423" s="22" t="n"/>
      <c r="F423" s="21" t="n"/>
      <c r="G423" s="21" t="n"/>
      <c r="H423" s="21" t="n"/>
      <c r="I423" s="21" t="n"/>
      <c r="J423" s="19">
        <f>IF($I423="","",IFERROR(INDEX(DANH_MUC!$D$4:$D$1000,MATCH($I423,DANH_MUC!$C$4:$C$1000,0)),""))</f>
        <v/>
      </c>
      <c r="K423" s="21" t="n"/>
      <c r="L423" s="21" t="n"/>
      <c r="M423" s="20" t="n"/>
      <c r="N423" s="23" t="n"/>
      <c r="O423" s="21" t="n"/>
    </row>
    <row r="424">
      <c r="A424" s="19">
        <f>IF($C424="","CHƯA NHẬP",IF($B424="","HỢP LỆ","LỖI"))</f>
        <v/>
      </c>
      <c r="B424" s="19">
        <f>IF($C424="","",TEXTJOIN(" | ",TRUE,IF(COUNTIF('01_HO_SO'!$C$6:$C$505,$C424)=0,"Mã chưa có ở Bước 1",""),IF(COUNTIF($C$6:$C$505,$C424)&gt;1,"Trùng mã trong thông tin công việc",""),IF($D424="","Thiếu trạng thái làm việc",""),IF($E424="","Thiếu ngày vào công ty",IF(OR(NOT(ISNUMBER($E424)),$E424&gt;TODAY()),"Ngày vào công ty không hợp lệ","")),IF($G424="","Thiếu phòng ban",""),IF($I424="","Thiếu chức danh",""),IF(AND($M424&lt;&gt;"",COUNTIF('01_HO_SO'!$C$6:$C$505,$M424)=0),"Mã quản lý không tồn tại",""),IF(AND($M424&lt;&gt;"",$M424=$C424),"Không thể tự quản lý chính mình",""),IF(OR($N424&lt;0,$N424&gt;1000000000),"Lương cơ bản ngoài phạm vi","")))</f>
        <v/>
      </c>
      <c r="C424" s="20" t="n"/>
      <c r="D424" s="21" t="n"/>
      <c r="E424" s="22" t="n"/>
      <c r="F424" s="21" t="n"/>
      <c r="G424" s="21" t="n"/>
      <c r="H424" s="21" t="n"/>
      <c r="I424" s="21" t="n"/>
      <c r="J424" s="19">
        <f>IF($I424="","",IFERROR(INDEX(DANH_MUC!$D$4:$D$1000,MATCH($I424,DANH_MUC!$C$4:$C$1000,0)),""))</f>
        <v/>
      </c>
      <c r="K424" s="21" t="n"/>
      <c r="L424" s="21" t="n"/>
      <c r="M424" s="20" t="n"/>
      <c r="N424" s="23" t="n"/>
      <c r="O424" s="21" t="n"/>
    </row>
    <row r="425">
      <c r="A425" s="19">
        <f>IF($C425="","CHƯA NHẬP",IF($B425="","HỢP LỆ","LỖI"))</f>
        <v/>
      </c>
      <c r="B425" s="19">
        <f>IF($C425="","",TEXTJOIN(" | ",TRUE,IF(COUNTIF('01_HO_SO'!$C$6:$C$505,$C425)=0,"Mã chưa có ở Bước 1",""),IF(COUNTIF($C$6:$C$505,$C425)&gt;1,"Trùng mã trong thông tin công việc",""),IF($D425="","Thiếu trạng thái làm việc",""),IF($E425="","Thiếu ngày vào công ty",IF(OR(NOT(ISNUMBER($E425)),$E425&gt;TODAY()),"Ngày vào công ty không hợp lệ","")),IF($G425="","Thiếu phòng ban",""),IF($I425="","Thiếu chức danh",""),IF(AND($M425&lt;&gt;"",COUNTIF('01_HO_SO'!$C$6:$C$505,$M425)=0),"Mã quản lý không tồn tại",""),IF(AND($M425&lt;&gt;"",$M425=$C425),"Không thể tự quản lý chính mình",""),IF(OR($N425&lt;0,$N425&gt;1000000000),"Lương cơ bản ngoài phạm vi","")))</f>
        <v/>
      </c>
      <c r="C425" s="20" t="n"/>
      <c r="D425" s="21" t="n"/>
      <c r="E425" s="22" t="n"/>
      <c r="F425" s="21" t="n"/>
      <c r="G425" s="21" t="n"/>
      <c r="H425" s="21" t="n"/>
      <c r="I425" s="21" t="n"/>
      <c r="J425" s="19">
        <f>IF($I425="","",IFERROR(INDEX(DANH_MUC!$D$4:$D$1000,MATCH($I425,DANH_MUC!$C$4:$C$1000,0)),""))</f>
        <v/>
      </c>
      <c r="K425" s="21" t="n"/>
      <c r="L425" s="21" t="n"/>
      <c r="M425" s="20" t="n"/>
      <c r="N425" s="23" t="n"/>
      <c r="O425" s="21" t="n"/>
    </row>
    <row r="426">
      <c r="A426" s="19">
        <f>IF($C426="","CHƯA NHẬP",IF($B426="","HỢP LỆ","LỖI"))</f>
        <v/>
      </c>
      <c r="B426" s="19">
        <f>IF($C426="","",TEXTJOIN(" | ",TRUE,IF(COUNTIF('01_HO_SO'!$C$6:$C$505,$C426)=0,"Mã chưa có ở Bước 1",""),IF(COUNTIF($C$6:$C$505,$C426)&gt;1,"Trùng mã trong thông tin công việc",""),IF($D426="","Thiếu trạng thái làm việc",""),IF($E426="","Thiếu ngày vào công ty",IF(OR(NOT(ISNUMBER($E426)),$E426&gt;TODAY()),"Ngày vào công ty không hợp lệ","")),IF($G426="","Thiếu phòng ban",""),IF($I426="","Thiếu chức danh",""),IF(AND($M426&lt;&gt;"",COUNTIF('01_HO_SO'!$C$6:$C$505,$M426)=0),"Mã quản lý không tồn tại",""),IF(AND($M426&lt;&gt;"",$M426=$C426),"Không thể tự quản lý chính mình",""),IF(OR($N426&lt;0,$N426&gt;1000000000),"Lương cơ bản ngoài phạm vi","")))</f>
        <v/>
      </c>
      <c r="C426" s="20" t="n"/>
      <c r="D426" s="21" t="n"/>
      <c r="E426" s="22" t="n"/>
      <c r="F426" s="21" t="n"/>
      <c r="G426" s="21" t="n"/>
      <c r="H426" s="21" t="n"/>
      <c r="I426" s="21" t="n"/>
      <c r="J426" s="19">
        <f>IF($I426="","",IFERROR(INDEX(DANH_MUC!$D$4:$D$1000,MATCH($I426,DANH_MUC!$C$4:$C$1000,0)),""))</f>
        <v/>
      </c>
      <c r="K426" s="21" t="n"/>
      <c r="L426" s="21" t="n"/>
      <c r="M426" s="20" t="n"/>
      <c r="N426" s="23" t="n"/>
      <c r="O426" s="21" t="n"/>
    </row>
    <row r="427">
      <c r="A427" s="19">
        <f>IF($C427="","CHƯA NHẬP",IF($B427="","HỢP LỆ","LỖI"))</f>
        <v/>
      </c>
      <c r="B427" s="19">
        <f>IF($C427="","",TEXTJOIN(" | ",TRUE,IF(COUNTIF('01_HO_SO'!$C$6:$C$505,$C427)=0,"Mã chưa có ở Bước 1",""),IF(COUNTIF($C$6:$C$505,$C427)&gt;1,"Trùng mã trong thông tin công việc",""),IF($D427="","Thiếu trạng thái làm việc",""),IF($E427="","Thiếu ngày vào công ty",IF(OR(NOT(ISNUMBER($E427)),$E427&gt;TODAY()),"Ngày vào công ty không hợp lệ","")),IF($G427="","Thiếu phòng ban",""),IF($I427="","Thiếu chức danh",""),IF(AND($M427&lt;&gt;"",COUNTIF('01_HO_SO'!$C$6:$C$505,$M427)=0),"Mã quản lý không tồn tại",""),IF(AND($M427&lt;&gt;"",$M427=$C427),"Không thể tự quản lý chính mình",""),IF(OR($N427&lt;0,$N427&gt;1000000000),"Lương cơ bản ngoài phạm vi","")))</f>
        <v/>
      </c>
      <c r="C427" s="20" t="n"/>
      <c r="D427" s="21" t="n"/>
      <c r="E427" s="22" t="n"/>
      <c r="F427" s="21" t="n"/>
      <c r="G427" s="21" t="n"/>
      <c r="H427" s="21" t="n"/>
      <c r="I427" s="21" t="n"/>
      <c r="J427" s="19">
        <f>IF($I427="","",IFERROR(INDEX(DANH_MUC!$D$4:$D$1000,MATCH($I427,DANH_MUC!$C$4:$C$1000,0)),""))</f>
        <v/>
      </c>
      <c r="K427" s="21" t="n"/>
      <c r="L427" s="21" t="n"/>
      <c r="M427" s="20" t="n"/>
      <c r="N427" s="23" t="n"/>
      <c r="O427" s="21" t="n"/>
    </row>
    <row r="428">
      <c r="A428" s="19">
        <f>IF($C428="","CHƯA NHẬP",IF($B428="","HỢP LỆ","LỖI"))</f>
        <v/>
      </c>
      <c r="B428" s="19">
        <f>IF($C428="","",TEXTJOIN(" | ",TRUE,IF(COUNTIF('01_HO_SO'!$C$6:$C$505,$C428)=0,"Mã chưa có ở Bước 1",""),IF(COUNTIF($C$6:$C$505,$C428)&gt;1,"Trùng mã trong thông tin công việc",""),IF($D428="","Thiếu trạng thái làm việc",""),IF($E428="","Thiếu ngày vào công ty",IF(OR(NOT(ISNUMBER($E428)),$E428&gt;TODAY()),"Ngày vào công ty không hợp lệ","")),IF($G428="","Thiếu phòng ban",""),IF($I428="","Thiếu chức danh",""),IF(AND($M428&lt;&gt;"",COUNTIF('01_HO_SO'!$C$6:$C$505,$M428)=0),"Mã quản lý không tồn tại",""),IF(AND($M428&lt;&gt;"",$M428=$C428),"Không thể tự quản lý chính mình",""),IF(OR($N428&lt;0,$N428&gt;1000000000),"Lương cơ bản ngoài phạm vi","")))</f>
        <v/>
      </c>
      <c r="C428" s="20" t="n"/>
      <c r="D428" s="21" t="n"/>
      <c r="E428" s="22" t="n"/>
      <c r="F428" s="21" t="n"/>
      <c r="G428" s="21" t="n"/>
      <c r="H428" s="21" t="n"/>
      <c r="I428" s="21" t="n"/>
      <c r="J428" s="19">
        <f>IF($I428="","",IFERROR(INDEX(DANH_MUC!$D$4:$D$1000,MATCH($I428,DANH_MUC!$C$4:$C$1000,0)),""))</f>
        <v/>
      </c>
      <c r="K428" s="21" t="n"/>
      <c r="L428" s="21" t="n"/>
      <c r="M428" s="20" t="n"/>
      <c r="N428" s="23" t="n"/>
      <c r="O428" s="21" t="n"/>
    </row>
    <row r="429">
      <c r="A429" s="19">
        <f>IF($C429="","CHƯA NHẬP",IF($B429="","HỢP LỆ","LỖI"))</f>
        <v/>
      </c>
      <c r="B429" s="19">
        <f>IF($C429="","",TEXTJOIN(" | ",TRUE,IF(COUNTIF('01_HO_SO'!$C$6:$C$505,$C429)=0,"Mã chưa có ở Bước 1",""),IF(COUNTIF($C$6:$C$505,$C429)&gt;1,"Trùng mã trong thông tin công việc",""),IF($D429="","Thiếu trạng thái làm việc",""),IF($E429="","Thiếu ngày vào công ty",IF(OR(NOT(ISNUMBER($E429)),$E429&gt;TODAY()),"Ngày vào công ty không hợp lệ","")),IF($G429="","Thiếu phòng ban",""),IF($I429="","Thiếu chức danh",""),IF(AND($M429&lt;&gt;"",COUNTIF('01_HO_SO'!$C$6:$C$505,$M429)=0),"Mã quản lý không tồn tại",""),IF(AND($M429&lt;&gt;"",$M429=$C429),"Không thể tự quản lý chính mình",""),IF(OR($N429&lt;0,$N429&gt;1000000000),"Lương cơ bản ngoài phạm vi","")))</f>
        <v/>
      </c>
      <c r="C429" s="20" t="n"/>
      <c r="D429" s="21" t="n"/>
      <c r="E429" s="22" t="n"/>
      <c r="F429" s="21" t="n"/>
      <c r="G429" s="21" t="n"/>
      <c r="H429" s="21" t="n"/>
      <c r="I429" s="21" t="n"/>
      <c r="J429" s="19">
        <f>IF($I429="","",IFERROR(INDEX(DANH_MUC!$D$4:$D$1000,MATCH($I429,DANH_MUC!$C$4:$C$1000,0)),""))</f>
        <v/>
      </c>
      <c r="K429" s="21" t="n"/>
      <c r="L429" s="21" t="n"/>
      <c r="M429" s="20" t="n"/>
      <c r="N429" s="23" t="n"/>
      <c r="O429" s="21" t="n"/>
    </row>
    <row r="430">
      <c r="A430" s="19">
        <f>IF($C430="","CHƯA NHẬP",IF($B430="","HỢP LỆ","LỖI"))</f>
        <v/>
      </c>
      <c r="B430" s="19">
        <f>IF($C430="","",TEXTJOIN(" | ",TRUE,IF(COUNTIF('01_HO_SO'!$C$6:$C$505,$C430)=0,"Mã chưa có ở Bước 1",""),IF(COUNTIF($C$6:$C$505,$C430)&gt;1,"Trùng mã trong thông tin công việc",""),IF($D430="","Thiếu trạng thái làm việc",""),IF($E430="","Thiếu ngày vào công ty",IF(OR(NOT(ISNUMBER($E430)),$E430&gt;TODAY()),"Ngày vào công ty không hợp lệ","")),IF($G430="","Thiếu phòng ban",""),IF($I430="","Thiếu chức danh",""),IF(AND($M430&lt;&gt;"",COUNTIF('01_HO_SO'!$C$6:$C$505,$M430)=0),"Mã quản lý không tồn tại",""),IF(AND($M430&lt;&gt;"",$M430=$C430),"Không thể tự quản lý chính mình",""),IF(OR($N430&lt;0,$N430&gt;1000000000),"Lương cơ bản ngoài phạm vi","")))</f>
        <v/>
      </c>
      <c r="C430" s="20" t="n"/>
      <c r="D430" s="21" t="n"/>
      <c r="E430" s="22" t="n"/>
      <c r="F430" s="21" t="n"/>
      <c r="G430" s="21" t="n"/>
      <c r="H430" s="21" t="n"/>
      <c r="I430" s="21" t="n"/>
      <c r="J430" s="19">
        <f>IF($I430="","",IFERROR(INDEX(DANH_MUC!$D$4:$D$1000,MATCH($I430,DANH_MUC!$C$4:$C$1000,0)),""))</f>
        <v/>
      </c>
      <c r="K430" s="21" t="n"/>
      <c r="L430" s="21" t="n"/>
      <c r="M430" s="20" t="n"/>
      <c r="N430" s="23" t="n"/>
      <c r="O430" s="21" t="n"/>
    </row>
    <row r="431">
      <c r="A431" s="19">
        <f>IF($C431="","CHƯA NHẬP",IF($B431="","HỢP LỆ","LỖI"))</f>
        <v/>
      </c>
      <c r="B431" s="19">
        <f>IF($C431="","",TEXTJOIN(" | ",TRUE,IF(COUNTIF('01_HO_SO'!$C$6:$C$505,$C431)=0,"Mã chưa có ở Bước 1",""),IF(COUNTIF($C$6:$C$505,$C431)&gt;1,"Trùng mã trong thông tin công việc",""),IF($D431="","Thiếu trạng thái làm việc",""),IF($E431="","Thiếu ngày vào công ty",IF(OR(NOT(ISNUMBER($E431)),$E431&gt;TODAY()),"Ngày vào công ty không hợp lệ","")),IF($G431="","Thiếu phòng ban",""),IF($I431="","Thiếu chức danh",""),IF(AND($M431&lt;&gt;"",COUNTIF('01_HO_SO'!$C$6:$C$505,$M431)=0),"Mã quản lý không tồn tại",""),IF(AND($M431&lt;&gt;"",$M431=$C431),"Không thể tự quản lý chính mình",""),IF(OR($N431&lt;0,$N431&gt;1000000000),"Lương cơ bản ngoài phạm vi","")))</f>
        <v/>
      </c>
      <c r="C431" s="20" t="n"/>
      <c r="D431" s="21" t="n"/>
      <c r="E431" s="22" t="n"/>
      <c r="F431" s="21" t="n"/>
      <c r="G431" s="21" t="n"/>
      <c r="H431" s="21" t="n"/>
      <c r="I431" s="21" t="n"/>
      <c r="J431" s="19">
        <f>IF($I431="","",IFERROR(INDEX(DANH_MUC!$D$4:$D$1000,MATCH($I431,DANH_MUC!$C$4:$C$1000,0)),""))</f>
        <v/>
      </c>
      <c r="K431" s="21" t="n"/>
      <c r="L431" s="21" t="n"/>
      <c r="M431" s="20" t="n"/>
      <c r="N431" s="23" t="n"/>
      <c r="O431" s="21" t="n"/>
    </row>
    <row r="432">
      <c r="A432" s="19">
        <f>IF($C432="","CHƯA NHẬP",IF($B432="","HỢP LỆ","LỖI"))</f>
        <v/>
      </c>
      <c r="B432" s="19">
        <f>IF($C432="","",TEXTJOIN(" | ",TRUE,IF(COUNTIF('01_HO_SO'!$C$6:$C$505,$C432)=0,"Mã chưa có ở Bước 1",""),IF(COUNTIF($C$6:$C$505,$C432)&gt;1,"Trùng mã trong thông tin công việc",""),IF($D432="","Thiếu trạng thái làm việc",""),IF($E432="","Thiếu ngày vào công ty",IF(OR(NOT(ISNUMBER($E432)),$E432&gt;TODAY()),"Ngày vào công ty không hợp lệ","")),IF($G432="","Thiếu phòng ban",""),IF($I432="","Thiếu chức danh",""),IF(AND($M432&lt;&gt;"",COUNTIF('01_HO_SO'!$C$6:$C$505,$M432)=0),"Mã quản lý không tồn tại",""),IF(AND($M432&lt;&gt;"",$M432=$C432),"Không thể tự quản lý chính mình",""),IF(OR($N432&lt;0,$N432&gt;1000000000),"Lương cơ bản ngoài phạm vi","")))</f>
        <v/>
      </c>
      <c r="C432" s="20" t="n"/>
      <c r="D432" s="21" t="n"/>
      <c r="E432" s="22" t="n"/>
      <c r="F432" s="21" t="n"/>
      <c r="G432" s="21" t="n"/>
      <c r="H432" s="21" t="n"/>
      <c r="I432" s="21" t="n"/>
      <c r="J432" s="19">
        <f>IF($I432="","",IFERROR(INDEX(DANH_MUC!$D$4:$D$1000,MATCH($I432,DANH_MUC!$C$4:$C$1000,0)),""))</f>
        <v/>
      </c>
      <c r="K432" s="21" t="n"/>
      <c r="L432" s="21" t="n"/>
      <c r="M432" s="20" t="n"/>
      <c r="N432" s="23" t="n"/>
      <c r="O432" s="21" t="n"/>
    </row>
    <row r="433">
      <c r="A433" s="19">
        <f>IF($C433="","CHƯA NHẬP",IF($B433="","HỢP LỆ","LỖI"))</f>
        <v/>
      </c>
      <c r="B433" s="19">
        <f>IF($C433="","",TEXTJOIN(" | ",TRUE,IF(COUNTIF('01_HO_SO'!$C$6:$C$505,$C433)=0,"Mã chưa có ở Bước 1",""),IF(COUNTIF($C$6:$C$505,$C433)&gt;1,"Trùng mã trong thông tin công việc",""),IF($D433="","Thiếu trạng thái làm việc",""),IF($E433="","Thiếu ngày vào công ty",IF(OR(NOT(ISNUMBER($E433)),$E433&gt;TODAY()),"Ngày vào công ty không hợp lệ","")),IF($G433="","Thiếu phòng ban",""),IF($I433="","Thiếu chức danh",""),IF(AND($M433&lt;&gt;"",COUNTIF('01_HO_SO'!$C$6:$C$505,$M433)=0),"Mã quản lý không tồn tại",""),IF(AND($M433&lt;&gt;"",$M433=$C433),"Không thể tự quản lý chính mình",""),IF(OR($N433&lt;0,$N433&gt;1000000000),"Lương cơ bản ngoài phạm vi","")))</f>
        <v/>
      </c>
      <c r="C433" s="20" t="n"/>
      <c r="D433" s="21" t="n"/>
      <c r="E433" s="22" t="n"/>
      <c r="F433" s="21" t="n"/>
      <c r="G433" s="21" t="n"/>
      <c r="H433" s="21" t="n"/>
      <c r="I433" s="21" t="n"/>
      <c r="J433" s="19">
        <f>IF($I433="","",IFERROR(INDEX(DANH_MUC!$D$4:$D$1000,MATCH($I433,DANH_MUC!$C$4:$C$1000,0)),""))</f>
        <v/>
      </c>
      <c r="K433" s="21" t="n"/>
      <c r="L433" s="21" t="n"/>
      <c r="M433" s="20" t="n"/>
      <c r="N433" s="23" t="n"/>
      <c r="O433" s="21" t="n"/>
    </row>
    <row r="434">
      <c r="A434" s="19">
        <f>IF($C434="","CHƯA NHẬP",IF($B434="","HỢP LỆ","LỖI"))</f>
        <v/>
      </c>
      <c r="B434" s="19">
        <f>IF($C434="","",TEXTJOIN(" | ",TRUE,IF(COUNTIF('01_HO_SO'!$C$6:$C$505,$C434)=0,"Mã chưa có ở Bước 1",""),IF(COUNTIF($C$6:$C$505,$C434)&gt;1,"Trùng mã trong thông tin công việc",""),IF($D434="","Thiếu trạng thái làm việc",""),IF($E434="","Thiếu ngày vào công ty",IF(OR(NOT(ISNUMBER($E434)),$E434&gt;TODAY()),"Ngày vào công ty không hợp lệ","")),IF($G434="","Thiếu phòng ban",""),IF($I434="","Thiếu chức danh",""),IF(AND($M434&lt;&gt;"",COUNTIF('01_HO_SO'!$C$6:$C$505,$M434)=0),"Mã quản lý không tồn tại",""),IF(AND($M434&lt;&gt;"",$M434=$C434),"Không thể tự quản lý chính mình",""),IF(OR($N434&lt;0,$N434&gt;1000000000),"Lương cơ bản ngoài phạm vi","")))</f>
        <v/>
      </c>
      <c r="C434" s="20" t="n"/>
      <c r="D434" s="21" t="n"/>
      <c r="E434" s="22" t="n"/>
      <c r="F434" s="21" t="n"/>
      <c r="G434" s="21" t="n"/>
      <c r="H434" s="21" t="n"/>
      <c r="I434" s="21" t="n"/>
      <c r="J434" s="19">
        <f>IF($I434="","",IFERROR(INDEX(DANH_MUC!$D$4:$D$1000,MATCH($I434,DANH_MUC!$C$4:$C$1000,0)),""))</f>
        <v/>
      </c>
      <c r="K434" s="21" t="n"/>
      <c r="L434" s="21" t="n"/>
      <c r="M434" s="20" t="n"/>
      <c r="N434" s="23" t="n"/>
      <c r="O434" s="21" t="n"/>
    </row>
    <row r="435">
      <c r="A435" s="19">
        <f>IF($C435="","CHƯA NHẬP",IF($B435="","HỢP LỆ","LỖI"))</f>
        <v/>
      </c>
      <c r="B435" s="19">
        <f>IF($C435="","",TEXTJOIN(" | ",TRUE,IF(COUNTIF('01_HO_SO'!$C$6:$C$505,$C435)=0,"Mã chưa có ở Bước 1",""),IF(COUNTIF($C$6:$C$505,$C435)&gt;1,"Trùng mã trong thông tin công việc",""),IF($D435="","Thiếu trạng thái làm việc",""),IF($E435="","Thiếu ngày vào công ty",IF(OR(NOT(ISNUMBER($E435)),$E435&gt;TODAY()),"Ngày vào công ty không hợp lệ","")),IF($G435="","Thiếu phòng ban",""),IF($I435="","Thiếu chức danh",""),IF(AND($M435&lt;&gt;"",COUNTIF('01_HO_SO'!$C$6:$C$505,$M435)=0),"Mã quản lý không tồn tại",""),IF(AND($M435&lt;&gt;"",$M435=$C435),"Không thể tự quản lý chính mình",""),IF(OR($N435&lt;0,$N435&gt;1000000000),"Lương cơ bản ngoài phạm vi","")))</f>
        <v/>
      </c>
      <c r="C435" s="20" t="n"/>
      <c r="D435" s="21" t="n"/>
      <c r="E435" s="22" t="n"/>
      <c r="F435" s="21" t="n"/>
      <c r="G435" s="21" t="n"/>
      <c r="H435" s="21" t="n"/>
      <c r="I435" s="21" t="n"/>
      <c r="J435" s="19">
        <f>IF($I435="","",IFERROR(INDEX(DANH_MUC!$D$4:$D$1000,MATCH($I435,DANH_MUC!$C$4:$C$1000,0)),""))</f>
        <v/>
      </c>
      <c r="K435" s="21" t="n"/>
      <c r="L435" s="21" t="n"/>
      <c r="M435" s="20" t="n"/>
      <c r="N435" s="23" t="n"/>
      <c r="O435" s="21" t="n"/>
    </row>
    <row r="436">
      <c r="A436" s="19">
        <f>IF($C436="","CHƯA NHẬP",IF($B436="","HỢP LỆ","LỖI"))</f>
        <v/>
      </c>
      <c r="B436" s="19">
        <f>IF($C436="","",TEXTJOIN(" | ",TRUE,IF(COUNTIF('01_HO_SO'!$C$6:$C$505,$C436)=0,"Mã chưa có ở Bước 1",""),IF(COUNTIF($C$6:$C$505,$C436)&gt;1,"Trùng mã trong thông tin công việc",""),IF($D436="","Thiếu trạng thái làm việc",""),IF($E436="","Thiếu ngày vào công ty",IF(OR(NOT(ISNUMBER($E436)),$E436&gt;TODAY()),"Ngày vào công ty không hợp lệ","")),IF($G436="","Thiếu phòng ban",""),IF($I436="","Thiếu chức danh",""),IF(AND($M436&lt;&gt;"",COUNTIF('01_HO_SO'!$C$6:$C$505,$M436)=0),"Mã quản lý không tồn tại",""),IF(AND($M436&lt;&gt;"",$M436=$C436),"Không thể tự quản lý chính mình",""),IF(OR($N436&lt;0,$N436&gt;1000000000),"Lương cơ bản ngoài phạm vi","")))</f>
        <v/>
      </c>
      <c r="C436" s="20" t="n"/>
      <c r="D436" s="21" t="n"/>
      <c r="E436" s="22" t="n"/>
      <c r="F436" s="21" t="n"/>
      <c r="G436" s="21" t="n"/>
      <c r="H436" s="21" t="n"/>
      <c r="I436" s="21" t="n"/>
      <c r="J436" s="19">
        <f>IF($I436="","",IFERROR(INDEX(DANH_MUC!$D$4:$D$1000,MATCH($I436,DANH_MUC!$C$4:$C$1000,0)),""))</f>
        <v/>
      </c>
      <c r="K436" s="21" t="n"/>
      <c r="L436" s="21" t="n"/>
      <c r="M436" s="20" t="n"/>
      <c r="N436" s="23" t="n"/>
      <c r="O436" s="21" t="n"/>
    </row>
    <row r="437">
      <c r="A437" s="19">
        <f>IF($C437="","CHƯA NHẬP",IF($B437="","HỢP LỆ","LỖI"))</f>
        <v/>
      </c>
      <c r="B437" s="19">
        <f>IF($C437="","",TEXTJOIN(" | ",TRUE,IF(COUNTIF('01_HO_SO'!$C$6:$C$505,$C437)=0,"Mã chưa có ở Bước 1",""),IF(COUNTIF($C$6:$C$505,$C437)&gt;1,"Trùng mã trong thông tin công việc",""),IF($D437="","Thiếu trạng thái làm việc",""),IF($E437="","Thiếu ngày vào công ty",IF(OR(NOT(ISNUMBER($E437)),$E437&gt;TODAY()),"Ngày vào công ty không hợp lệ","")),IF($G437="","Thiếu phòng ban",""),IF($I437="","Thiếu chức danh",""),IF(AND($M437&lt;&gt;"",COUNTIF('01_HO_SO'!$C$6:$C$505,$M437)=0),"Mã quản lý không tồn tại",""),IF(AND($M437&lt;&gt;"",$M437=$C437),"Không thể tự quản lý chính mình",""),IF(OR($N437&lt;0,$N437&gt;1000000000),"Lương cơ bản ngoài phạm vi","")))</f>
        <v/>
      </c>
      <c r="C437" s="20" t="n"/>
      <c r="D437" s="21" t="n"/>
      <c r="E437" s="22" t="n"/>
      <c r="F437" s="21" t="n"/>
      <c r="G437" s="21" t="n"/>
      <c r="H437" s="21" t="n"/>
      <c r="I437" s="21" t="n"/>
      <c r="J437" s="19">
        <f>IF($I437="","",IFERROR(INDEX(DANH_MUC!$D$4:$D$1000,MATCH($I437,DANH_MUC!$C$4:$C$1000,0)),""))</f>
        <v/>
      </c>
      <c r="K437" s="21" t="n"/>
      <c r="L437" s="21" t="n"/>
      <c r="M437" s="20" t="n"/>
      <c r="N437" s="23" t="n"/>
      <c r="O437" s="21" t="n"/>
    </row>
    <row r="438">
      <c r="A438" s="19">
        <f>IF($C438="","CHƯA NHẬP",IF($B438="","HỢP LỆ","LỖI"))</f>
        <v/>
      </c>
      <c r="B438" s="19">
        <f>IF($C438="","",TEXTJOIN(" | ",TRUE,IF(COUNTIF('01_HO_SO'!$C$6:$C$505,$C438)=0,"Mã chưa có ở Bước 1",""),IF(COUNTIF($C$6:$C$505,$C438)&gt;1,"Trùng mã trong thông tin công việc",""),IF($D438="","Thiếu trạng thái làm việc",""),IF($E438="","Thiếu ngày vào công ty",IF(OR(NOT(ISNUMBER($E438)),$E438&gt;TODAY()),"Ngày vào công ty không hợp lệ","")),IF($G438="","Thiếu phòng ban",""),IF($I438="","Thiếu chức danh",""),IF(AND($M438&lt;&gt;"",COUNTIF('01_HO_SO'!$C$6:$C$505,$M438)=0),"Mã quản lý không tồn tại",""),IF(AND($M438&lt;&gt;"",$M438=$C438),"Không thể tự quản lý chính mình",""),IF(OR($N438&lt;0,$N438&gt;1000000000),"Lương cơ bản ngoài phạm vi","")))</f>
        <v/>
      </c>
      <c r="C438" s="20" t="n"/>
      <c r="D438" s="21" t="n"/>
      <c r="E438" s="22" t="n"/>
      <c r="F438" s="21" t="n"/>
      <c r="G438" s="21" t="n"/>
      <c r="H438" s="21" t="n"/>
      <c r="I438" s="21" t="n"/>
      <c r="J438" s="19">
        <f>IF($I438="","",IFERROR(INDEX(DANH_MUC!$D$4:$D$1000,MATCH($I438,DANH_MUC!$C$4:$C$1000,0)),""))</f>
        <v/>
      </c>
      <c r="K438" s="21" t="n"/>
      <c r="L438" s="21" t="n"/>
      <c r="M438" s="20" t="n"/>
      <c r="N438" s="23" t="n"/>
      <c r="O438" s="21" t="n"/>
    </row>
    <row r="439">
      <c r="A439" s="19">
        <f>IF($C439="","CHƯA NHẬP",IF($B439="","HỢP LỆ","LỖI"))</f>
        <v/>
      </c>
      <c r="B439" s="19">
        <f>IF($C439="","",TEXTJOIN(" | ",TRUE,IF(COUNTIF('01_HO_SO'!$C$6:$C$505,$C439)=0,"Mã chưa có ở Bước 1",""),IF(COUNTIF($C$6:$C$505,$C439)&gt;1,"Trùng mã trong thông tin công việc",""),IF($D439="","Thiếu trạng thái làm việc",""),IF($E439="","Thiếu ngày vào công ty",IF(OR(NOT(ISNUMBER($E439)),$E439&gt;TODAY()),"Ngày vào công ty không hợp lệ","")),IF($G439="","Thiếu phòng ban",""),IF($I439="","Thiếu chức danh",""),IF(AND($M439&lt;&gt;"",COUNTIF('01_HO_SO'!$C$6:$C$505,$M439)=0),"Mã quản lý không tồn tại",""),IF(AND($M439&lt;&gt;"",$M439=$C439),"Không thể tự quản lý chính mình",""),IF(OR($N439&lt;0,$N439&gt;1000000000),"Lương cơ bản ngoài phạm vi","")))</f>
        <v/>
      </c>
      <c r="C439" s="20" t="n"/>
      <c r="D439" s="21" t="n"/>
      <c r="E439" s="22" t="n"/>
      <c r="F439" s="21" t="n"/>
      <c r="G439" s="21" t="n"/>
      <c r="H439" s="21" t="n"/>
      <c r="I439" s="21" t="n"/>
      <c r="J439" s="19">
        <f>IF($I439="","",IFERROR(INDEX(DANH_MUC!$D$4:$D$1000,MATCH($I439,DANH_MUC!$C$4:$C$1000,0)),""))</f>
        <v/>
      </c>
      <c r="K439" s="21" t="n"/>
      <c r="L439" s="21" t="n"/>
      <c r="M439" s="20" t="n"/>
      <c r="N439" s="23" t="n"/>
      <c r="O439" s="21" t="n"/>
    </row>
    <row r="440">
      <c r="A440" s="19">
        <f>IF($C440="","CHƯA NHẬP",IF($B440="","HỢP LỆ","LỖI"))</f>
        <v/>
      </c>
      <c r="B440" s="19">
        <f>IF($C440="","",TEXTJOIN(" | ",TRUE,IF(COUNTIF('01_HO_SO'!$C$6:$C$505,$C440)=0,"Mã chưa có ở Bước 1",""),IF(COUNTIF($C$6:$C$505,$C440)&gt;1,"Trùng mã trong thông tin công việc",""),IF($D440="","Thiếu trạng thái làm việc",""),IF($E440="","Thiếu ngày vào công ty",IF(OR(NOT(ISNUMBER($E440)),$E440&gt;TODAY()),"Ngày vào công ty không hợp lệ","")),IF($G440="","Thiếu phòng ban",""),IF($I440="","Thiếu chức danh",""),IF(AND($M440&lt;&gt;"",COUNTIF('01_HO_SO'!$C$6:$C$505,$M440)=0),"Mã quản lý không tồn tại",""),IF(AND($M440&lt;&gt;"",$M440=$C440),"Không thể tự quản lý chính mình",""),IF(OR($N440&lt;0,$N440&gt;1000000000),"Lương cơ bản ngoài phạm vi","")))</f>
        <v/>
      </c>
      <c r="C440" s="20" t="n"/>
      <c r="D440" s="21" t="n"/>
      <c r="E440" s="22" t="n"/>
      <c r="F440" s="21" t="n"/>
      <c r="G440" s="21" t="n"/>
      <c r="H440" s="21" t="n"/>
      <c r="I440" s="21" t="n"/>
      <c r="J440" s="19">
        <f>IF($I440="","",IFERROR(INDEX(DANH_MUC!$D$4:$D$1000,MATCH($I440,DANH_MUC!$C$4:$C$1000,0)),""))</f>
        <v/>
      </c>
      <c r="K440" s="21" t="n"/>
      <c r="L440" s="21" t="n"/>
      <c r="M440" s="20" t="n"/>
      <c r="N440" s="23" t="n"/>
      <c r="O440" s="21" t="n"/>
    </row>
    <row r="441">
      <c r="A441" s="19">
        <f>IF($C441="","CHƯA NHẬP",IF($B441="","HỢP LỆ","LỖI"))</f>
        <v/>
      </c>
      <c r="B441" s="19">
        <f>IF($C441="","",TEXTJOIN(" | ",TRUE,IF(COUNTIF('01_HO_SO'!$C$6:$C$505,$C441)=0,"Mã chưa có ở Bước 1",""),IF(COUNTIF($C$6:$C$505,$C441)&gt;1,"Trùng mã trong thông tin công việc",""),IF($D441="","Thiếu trạng thái làm việc",""),IF($E441="","Thiếu ngày vào công ty",IF(OR(NOT(ISNUMBER($E441)),$E441&gt;TODAY()),"Ngày vào công ty không hợp lệ","")),IF($G441="","Thiếu phòng ban",""),IF($I441="","Thiếu chức danh",""),IF(AND($M441&lt;&gt;"",COUNTIF('01_HO_SO'!$C$6:$C$505,$M441)=0),"Mã quản lý không tồn tại",""),IF(AND($M441&lt;&gt;"",$M441=$C441),"Không thể tự quản lý chính mình",""),IF(OR($N441&lt;0,$N441&gt;1000000000),"Lương cơ bản ngoài phạm vi","")))</f>
        <v/>
      </c>
      <c r="C441" s="20" t="n"/>
      <c r="D441" s="21" t="n"/>
      <c r="E441" s="22" t="n"/>
      <c r="F441" s="21" t="n"/>
      <c r="G441" s="21" t="n"/>
      <c r="H441" s="21" t="n"/>
      <c r="I441" s="21" t="n"/>
      <c r="J441" s="19">
        <f>IF($I441="","",IFERROR(INDEX(DANH_MUC!$D$4:$D$1000,MATCH($I441,DANH_MUC!$C$4:$C$1000,0)),""))</f>
        <v/>
      </c>
      <c r="K441" s="21" t="n"/>
      <c r="L441" s="21" t="n"/>
      <c r="M441" s="20" t="n"/>
      <c r="N441" s="23" t="n"/>
      <c r="O441" s="21" t="n"/>
    </row>
    <row r="442">
      <c r="A442" s="19">
        <f>IF($C442="","CHƯA NHẬP",IF($B442="","HỢP LỆ","LỖI"))</f>
        <v/>
      </c>
      <c r="B442" s="19">
        <f>IF($C442="","",TEXTJOIN(" | ",TRUE,IF(COUNTIF('01_HO_SO'!$C$6:$C$505,$C442)=0,"Mã chưa có ở Bước 1",""),IF(COUNTIF($C$6:$C$505,$C442)&gt;1,"Trùng mã trong thông tin công việc",""),IF($D442="","Thiếu trạng thái làm việc",""),IF($E442="","Thiếu ngày vào công ty",IF(OR(NOT(ISNUMBER($E442)),$E442&gt;TODAY()),"Ngày vào công ty không hợp lệ","")),IF($G442="","Thiếu phòng ban",""),IF($I442="","Thiếu chức danh",""),IF(AND($M442&lt;&gt;"",COUNTIF('01_HO_SO'!$C$6:$C$505,$M442)=0),"Mã quản lý không tồn tại",""),IF(AND($M442&lt;&gt;"",$M442=$C442),"Không thể tự quản lý chính mình",""),IF(OR($N442&lt;0,$N442&gt;1000000000),"Lương cơ bản ngoài phạm vi","")))</f>
        <v/>
      </c>
      <c r="C442" s="20" t="n"/>
      <c r="D442" s="21" t="n"/>
      <c r="E442" s="22" t="n"/>
      <c r="F442" s="21" t="n"/>
      <c r="G442" s="21" t="n"/>
      <c r="H442" s="21" t="n"/>
      <c r="I442" s="21" t="n"/>
      <c r="J442" s="19">
        <f>IF($I442="","",IFERROR(INDEX(DANH_MUC!$D$4:$D$1000,MATCH($I442,DANH_MUC!$C$4:$C$1000,0)),""))</f>
        <v/>
      </c>
      <c r="K442" s="21" t="n"/>
      <c r="L442" s="21" t="n"/>
      <c r="M442" s="20" t="n"/>
      <c r="N442" s="23" t="n"/>
      <c r="O442" s="21" t="n"/>
    </row>
    <row r="443">
      <c r="A443" s="19">
        <f>IF($C443="","CHƯA NHẬP",IF($B443="","HỢP LỆ","LỖI"))</f>
        <v/>
      </c>
      <c r="B443" s="19">
        <f>IF($C443="","",TEXTJOIN(" | ",TRUE,IF(COUNTIF('01_HO_SO'!$C$6:$C$505,$C443)=0,"Mã chưa có ở Bước 1",""),IF(COUNTIF($C$6:$C$505,$C443)&gt;1,"Trùng mã trong thông tin công việc",""),IF($D443="","Thiếu trạng thái làm việc",""),IF($E443="","Thiếu ngày vào công ty",IF(OR(NOT(ISNUMBER($E443)),$E443&gt;TODAY()),"Ngày vào công ty không hợp lệ","")),IF($G443="","Thiếu phòng ban",""),IF($I443="","Thiếu chức danh",""),IF(AND($M443&lt;&gt;"",COUNTIF('01_HO_SO'!$C$6:$C$505,$M443)=0),"Mã quản lý không tồn tại",""),IF(AND($M443&lt;&gt;"",$M443=$C443),"Không thể tự quản lý chính mình",""),IF(OR($N443&lt;0,$N443&gt;1000000000),"Lương cơ bản ngoài phạm vi","")))</f>
        <v/>
      </c>
      <c r="C443" s="20" t="n"/>
      <c r="D443" s="21" t="n"/>
      <c r="E443" s="22" t="n"/>
      <c r="F443" s="21" t="n"/>
      <c r="G443" s="21" t="n"/>
      <c r="H443" s="21" t="n"/>
      <c r="I443" s="21" t="n"/>
      <c r="J443" s="19">
        <f>IF($I443="","",IFERROR(INDEX(DANH_MUC!$D$4:$D$1000,MATCH($I443,DANH_MUC!$C$4:$C$1000,0)),""))</f>
        <v/>
      </c>
      <c r="K443" s="21" t="n"/>
      <c r="L443" s="21" t="n"/>
      <c r="M443" s="20" t="n"/>
      <c r="N443" s="23" t="n"/>
      <c r="O443" s="21" t="n"/>
    </row>
    <row r="444">
      <c r="A444" s="19">
        <f>IF($C444="","CHƯA NHẬP",IF($B444="","HỢP LỆ","LỖI"))</f>
        <v/>
      </c>
      <c r="B444" s="19">
        <f>IF($C444="","",TEXTJOIN(" | ",TRUE,IF(COUNTIF('01_HO_SO'!$C$6:$C$505,$C444)=0,"Mã chưa có ở Bước 1",""),IF(COUNTIF($C$6:$C$505,$C444)&gt;1,"Trùng mã trong thông tin công việc",""),IF($D444="","Thiếu trạng thái làm việc",""),IF($E444="","Thiếu ngày vào công ty",IF(OR(NOT(ISNUMBER($E444)),$E444&gt;TODAY()),"Ngày vào công ty không hợp lệ","")),IF($G444="","Thiếu phòng ban",""),IF($I444="","Thiếu chức danh",""),IF(AND($M444&lt;&gt;"",COUNTIF('01_HO_SO'!$C$6:$C$505,$M444)=0),"Mã quản lý không tồn tại",""),IF(AND($M444&lt;&gt;"",$M444=$C444),"Không thể tự quản lý chính mình",""),IF(OR($N444&lt;0,$N444&gt;1000000000),"Lương cơ bản ngoài phạm vi","")))</f>
        <v/>
      </c>
      <c r="C444" s="20" t="n"/>
      <c r="D444" s="21" t="n"/>
      <c r="E444" s="22" t="n"/>
      <c r="F444" s="21" t="n"/>
      <c r="G444" s="21" t="n"/>
      <c r="H444" s="21" t="n"/>
      <c r="I444" s="21" t="n"/>
      <c r="J444" s="19">
        <f>IF($I444="","",IFERROR(INDEX(DANH_MUC!$D$4:$D$1000,MATCH($I444,DANH_MUC!$C$4:$C$1000,0)),""))</f>
        <v/>
      </c>
      <c r="K444" s="21" t="n"/>
      <c r="L444" s="21" t="n"/>
      <c r="M444" s="20" t="n"/>
      <c r="N444" s="23" t="n"/>
      <c r="O444" s="21" t="n"/>
    </row>
    <row r="445">
      <c r="A445" s="19">
        <f>IF($C445="","CHƯA NHẬP",IF($B445="","HỢP LỆ","LỖI"))</f>
        <v/>
      </c>
      <c r="B445" s="19">
        <f>IF($C445="","",TEXTJOIN(" | ",TRUE,IF(COUNTIF('01_HO_SO'!$C$6:$C$505,$C445)=0,"Mã chưa có ở Bước 1",""),IF(COUNTIF($C$6:$C$505,$C445)&gt;1,"Trùng mã trong thông tin công việc",""),IF($D445="","Thiếu trạng thái làm việc",""),IF($E445="","Thiếu ngày vào công ty",IF(OR(NOT(ISNUMBER($E445)),$E445&gt;TODAY()),"Ngày vào công ty không hợp lệ","")),IF($G445="","Thiếu phòng ban",""),IF($I445="","Thiếu chức danh",""),IF(AND($M445&lt;&gt;"",COUNTIF('01_HO_SO'!$C$6:$C$505,$M445)=0),"Mã quản lý không tồn tại",""),IF(AND($M445&lt;&gt;"",$M445=$C445),"Không thể tự quản lý chính mình",""),IF(OR($N445&lt;0,$N445&gt;1000000000),"Lương cơ bản ngoài phạm vi","")))</f>
        <v/>
      </c>
      <c r="C445" s="20" t="n"/>
      <c r="D445" s="21" t="n"/>
      <c r="E445" s="22" t="n"/>
      <c r="F445" s="21" t="n"/>
      <c r="G445" s="21" t="n"/>
      <c r="H445" s="21" t="n"/>
      <c r="I445" s="21" t="n"/>
      <c r="J445" s="19">
        <f>IF($I445="","",IFERROR(INDEX(DANH_MUC!$D$4:$D$1000,MATCH($I445,DANH_MUC!$C$4:$C$1000,0)),""))</f>
        <v/>
      </c>
      <c r="K445" s="21" t="n"/>
      <c r="L445" s="21" t="n"/>
      <c r="M445" s="20" t="n"/>
      <c r="N445" s="23" t="n"/>
      <c r="O445" s="21" t="n"/>
    </row>
    <row r="446">
      <c r="A446" s="19">
        <f>IF($C446="","CHƯA NHẬP",IF($B446="","HỢP LỆ","LỖI"))</f>
        <v/>
      </c>
      <c r="B446" s="19">
        <f>IF($C446="","",TEXTJOIN(" | ",TRUE,IF(COUNTIF('01_HO_SO'!$C$6:$C$505,$C446)=0,"Mã chưa có ở Bước 1",""),IF(COUNTIF($C$6:$C$505,$C446)&gt;1,"Trùng mã trong thông tin công việc",""),IF($D446="","Thiếu trạng thái làm việc",""),IF($E446="","Thiếu ngày vào công ty",IF(OR(NOT(ISNUMBER($E446)),$E446&gt;TODAY()),"Ngày vào công ty không hợp lệ","")),IF($G446="","Thiếu phòng ban",""),IF($I446="","Thiếu chức danh",""),IF(AND($M446&lt;&gt;"",COUNTIF('01_HO_SO'!$C$6:$C$505,$M446)=0),"Mã quản lý không tồn tại",""),IF(AND($M446&lt;&gt;"",$M446=$C446),"Không thể tự quản lý chính mình",""),IF(OR($N446&lt;0,$N446&gt;1000000000),"Lương cơ bản ngoài phạm vi","")))</f>
        <v/>
      </c>
      <c r="C446" s="20" t="n"/>
      <c r="D446" s="21" t="n"/>
      <c r="E446" s="22" t="n"/>
      <c r="F446" s="21" t="n"/>
      <c r="G446" s="21" t="n"/>
      <c r="H446" s="21" t="n"/>
      <c r="I446" s="21" t="n"/>
      <c r="J446" s="19">
        <f>IF($I446="","",IFERROR(INDEX(DANH_MUC!$D$4:$D$1000,MATCH($I446,DANH_MUC!$C$4:$C$1000,0)),""))</f>
        <v/>
      </c>
      <c r="K446" s="21" t="n"/>
      <c r="L446" s="21" t="n"/>
      <c r="M446" s="20" t="n"/>
      <c r="N446" s="23" t="n"/>
      <c r="O446" s="21" t="n"/>
    </row>
    <row r="447">
      <c r="A447" s="19">
        <f>IF($C447="","CHƯA NHẬP",IF($B447="","HỢP LỆ","LỖI"))</f>
        <v/>
      </c>
      <c r="B447" s="19">
        <f>IF($C447="","",TEXTJOIN(" | ",TRUE,IF(COUNTIF('01_HO_SO'!$C$6:$C$505,$C447)=0,"Mã chưa có ở Bước 1",""),IF(COUNTIF($C$6:$C$505,$C447)&gt;1,"Trùng mã trong thông tin công việc",""),IF($D447="","Thiếu trạng thái làm việc",""),IF($E447="","Thiếu ngày vào công ty",IF(OR(NOT(ISNUMBER($E447)),$E447&gt;TODAY()),"Ngày vào công ty không hợp lệ","")),IF($G447="","Thiếu phòng ban",""),IF($I447="","Thiếu chức danh",""),IF(AND($M447&lt;&gt;"",COUNTIF('01_HO_SO'!$C$6:$C$505,$M447)=0),"Mã quản lý không tồn tại",""),IF(AND($M447&lt;&gt;"",$M447=$C447),"Không thể tự quản lý chính mình",""),IF(OR($N447&lt;0,$N447&gt;1000000000),"Lương cơ bản ngoài phạm vi","")))</f>
        <v/>
      </c>
      <c r="C447" s="20" t="n"/>
      <c r="D447" s="21" t="n"/>
      <c r="E447" s="22" t="n"/>
      <c r="F447" s="21" t="n"/>
      <c r="G447" s="21" t="n"/>
      <c r="H447" s="21" t="n"/>
      <c r="I447" s="21" t="n"/>
      <c r="J447" s="19">
        <f>IF($I447="","",IFERROR(INDEX(DANH_MUC!$D$4:$D$1000,MATCH($I447,DANH_MUC!$C$4:$C$1000,0)),""))</f>
        <v/>
      </c>
      <c r="K447" s="21" t="n"/>
      <c r="L447" s="21" t="n"/>
      <c r="M447" s="20" t="n"/>
      <c r="N447" s="23" t="n"/>
      <c r="O447" s="21" t="n"/>
    </row>
    <row r="448">
      <c r="A448" s="19">
        <f>IF($C448="","CHƯA NHẬP",IF($B448="","HỢP LỆ","LỖI"))</f>
        <v/>
      </c>
      <c r="B448" s="19">
        <f>IF($C448="","",TEXTJOIN(" | ",TRUE,IF(COUNTIF('01_HO_SO'!$C$6:$C$505,$C448)=0,"Mã chưa có ở Bước 1",""),IF(COUNTIF($C$6:$C$505,$C448)&gt;1,"Trùng mã trong thông tin công việc",""),IF($D448="","Thiếu trạng thái làm việc",""),IF($E448="","Thiếu ngày vào công ty",IF(OR(NOT(ISNUMBER($E448)),$E448&gt;TODAY()),"Ngày vào công ty không hợp lệ","")),IF($G448="","Thiếu phòng ban",""),IF($I448="","Thiếu chức danh",""),IF(AND($M448&lt;&gt;"",COUNTIF('01_HO_SO'!$C$6:$C$505,$M448)=0),"Mã quản lý không tồn tại",""),IF(AND($M448&lt;&gt;"",$M448=$C448),"Không thể tự quản lý chính mình",""),IF(OR($N448&lt;0,$N448&gt;1000000000),"Lương cơ bản ngoài phạm vi","")))</f>
        <v/>
      </c>
      <c r="C448" s="20" t="n"/>
      <c r="D448" s="21" t="n"/>
      <c r="E448" s="22" t="n"/>
      <c r="F448" s="21" t="n"/>
      <c r="G448" s="21" t="n"/>
      <c r="H448" s="21" t="n"/>
      <c r="I448" s="21" t="n"/>
      <c r="J448" s="19">
        <f>IF($I448="","",IFERROR(INDEX(DANH_MUC!$D$4:$D$1000,MATCH($I448,DANH_MUC!$C$4:$C$1000,0)),""))</f>
        <v/>
      </c>
      <c r="K448" s="21" t="n"/>
      <c r="L448" s="21" t="n"/>
      <c r="M448" s="20" t="n"/>
      <c r="N448" s="23" t="n"/>
      <c r="O448" s="21" t="n"/>
    </row>
    <row r="449">
      <c r="A449" s="19">
        <f>IF($C449="","CHƯA NHẬP",IF($B449="","HỢP LỆ","LỖI"))</f>
        <v/>
      </c>
      <c r="B449" s="19">
        <f>IF($C449="","",TEXTJOIN(" | ",TRUE,IF(COUNTIF('01_HO_SO'!$C$6:$C$505,$C449)=0,"Mã chưa có ở Bước 1",""),IF(COUNTIF($C$6:$C$505,$C449)&gt;1,"Trùng mã trong thông tin công việc",""),IF($D449="","Thiếu trạng thái làm việc",""),IF($E449="","Thiếu ngày vào công ty",IF(OR(NOT(ISNUMBER($E449)),$E449&gt;TODAY()),"Ngày vào công ty không hợp lệ","")),IF($G449="","Thiếu phòng ban",""),IF($I449="","Thiếu chức danh",""),IF(AND($M449&lt;&gt;"",COUNTIF('01_HO_SO'!$C$6:$C$505,$M449)=0),"Mã quản lý không tồn tại",""),IF(AND($M449&lt;&gt;"",$M449=$C449),"Không thể tự quản lý chính mình",""),IF(OR($N449&lt;0,$N449&gt;1000000000),"Lương cơ bản ngoài phạm vi","")))</f>
        <v/>
      </c>
      <c r="C449" s="20" t="n"/>
      <c r="D449" s="21" t="n"/>
      <c r="E449" s="22" t="n"/>
      <c r="F449" s="21" t="n"/>
      <c r="G449" s="21" t="n"/>
      <c r="H449" s="21" t="n"/>
      <c r="I449" s="21" t="n"/>
      <c r="J449" s="19">
        <f>IF($I449="","",IFERROR(INDEX(DANH_MUC!$D$4:$D$1000,MATCH($I449,DANH_MUC!$C$4:$C$1000,0)),""))</f>
        <v/>
      </c>
      <c r="K449" s="21" t="n"/>
      <c r="L449" s="21" t="n"/>
      <c r="M449" s="20" t="n"/>
      <c r="N449" s="23" t="n"/>
      <c r="O449" s="21" t="n"/>
    </row>
    <row r="450">
      <c r="A450" s="19">
        <f>IF($C450="","CHƯA NHẬP",IF($B450="","HỢP LỆ","LỖI"))</f>
        <v/>
      </c>
      <c r="B450" s="19">
        <f>IF($C450="","",TEXTJOIN(" | ",TRUE,IF(COUNTIF('01_HO_SO'!$C$6:$C$505,$C450)=0,"Mã chưa có ở Bước 1",""),IF(COUNTIF($C$6:$C$505,$C450)&gt;1,"Trùng mã trong thông tin công việc",""),IF($D450="","Thiếu trạng thái làm việc",""),IF($E450="","Thiếu ngày vào công ty",IF(OR(NOT(ISNUMBER($E450)),$E450&gt;TODAY()),"Ngày vào công ty không hợp lệ","")),IF($G450="","Thiếu phòng ban",""),IF($I450="","Thiếu chức danh",""),IF(AND($M450&lt;&gt;"",COUNTIF('01_HO_SO'!$C$6:$C$505,$M450)=0),"Mã quản lý không tồn tại",""),IF(AND($M450&lt;&gt;"",$M450=$C450),"Không thể tự quản lý chính mình",""),IF(OR($N450&lt;0,$N450&gt;1000000000),"Lương cơ bản ngoài phạm vi","")))</f>
        <v/>
      </c>
      <c r="C450" s="20" t="n"/>
      <c r="D450" s="21" t="n"/>
      <c r="E450" s="22" t="n"/>
      <c r="F450" s="21" t="n"/>
      <c r="G450" s="21" t="n"/>
      <c r="H450" s="21" t="n"/>
      <c r="I450" s="21" t="n"/>
      <c r="J450" s="19">
        <f>IF($I450="","",IFERROR(INDEX(DANH_MUC!$D$4:$D$1000,MATCH($I450,DANH_MUC!$C$4:$C$1000,0)),""))</f>
        <v/>
      </c>
      <c r="K450" s="21" t="n"/>
      <c r="L450" s="21" t="n"/>
      <c r="M450" s="20" t="n"/>
      <c r="N450" s="23" t="n"/>
      <c r="O450" s="21" t="n"/>
    </row>
    <row r="451">
      <c r="A451" s="19">
        <f>IF($C451="","CHƯA NHẬP",IF($B451="","HỢP LỆ","LỖI"))</f>
        <v/>
      </c>
      <c r="B451" s="19">
        <f>IF($C451="","",TEXTJOIN(" | ",TRUE,IF(COUNTIF('01_HO_SO'!$C$6:$C$505,$C451)=0,"Mã chưa có ở Bước 1",""),IF(COUNTIF($C$6:$C$505,$C451)&gt;1,"Trùng mã trong thông tin công việc",""),IF($D451="","Thiếu trạng thái làm việc",""),IF($E451="","Thiếu ngày vào công ty",IF(OR(NOT(ISNUMBER($E451)),$E451&gt;TODAY()),"Ngày vào công ty không hợp lệ","")),IF($G451="","Thiếu phòng ban",""),IF($I451="","Thiếu chức danh",""),IF(AND($M451&lt;&gt;"",COUNTIF('01_HO_SO'!$C$6:$C$505,$M451)=0),"Mã quản lý không tồn tại",""),IF(AND($M451&lt;&gt;"",$M451=$C451),"Không thể tự quản lý chính mình",""),IF(OR($N451&lt;0,$N451&gt;1000000000),"Lương cơ bản ngoài phạm vi","")))</f>
        <v/>
      </c>
      <c r="C451" s="20" t="n"/>
      <c r="D451" s="21" t="n"/>
      <c r="E451" s="22" t="n"/>
      <c r="F451" s="21" t="n"/>
      <c r="G451" s="21" t="n"/>
      <c r="H451" s="21" t="n"/>
      <c r="I451" s="21" t="n"/>
      <c r="J451" s="19">
        <f>IF($I451="","",IFERROR(INDEX(DANH_MUC!$D$4:$D$1000,MATCH($I451,DANH_MUC!$C$4:$C$1000,0)),""))</f>
        <v/>
      </c>
      <c r="K451" s="21" t="n"/>
      <c r="L451" s="21" t="n"/>
      <c r="M451" s="20" t="n"/>
      <c r="N451" s="23" t="n"/>
      <c r="O451" s="21" t="n"/>
    </row>
    <row r="452">
      <c r="A452" s="19">
        <f>IF($C452="","CHƯA NHẬP",IF($B452="","HỢP LỆ","LỖI"))</f>
        <v/>
      </c>
      <c r="B452" s="19">
        <f>IF($C452="","",TEXTJOIN(" | ",TRUE,IF(COUNTIF('01_HO_SO'!$C$6:$C$505,$C452)=0,"Mã chưa có ở Bước 1",""),IF(COUNTIF($C$6:$C$505,$C452)&gt;1,"Trùng mã trong thông tin công việc",""),IF($D452="","Thiếu trạng thái làm việc",""),IF($E452="","Thiếu ngày vào công ty",IF(OR(NOT(ISNUMBER($E452)),$E452&gt;TODAY()),"Ngày vào công ty không hợp lệ","")),IF($G452="","Thiếu phòng ban",""),IF($I452="","Thiếu chức danh",""),IF(AND($M452&lt;&gt;"",COUNTIF('01_HO_SO'!$C$6:$C$505,$M452)=0),"Mã quản lý không tồn tại",""),IF(AND($M452&lt;&gt;"",$M452=$C452),"Không thể tự quản lý chính mình",""),IF(OR($N452&lt;0,$N452&gt;1000000000),"Lương cơ bản ngoài phạm vi","")))</f>
        <v/>
      </c>
      <c r="C452" s="20" t="n"/>
      <c r="D452" s="21" t="n"/>
      <c r="E452" s="22" t="n"/>
      <c r="F452" s="21" t="n"/>
      <c r="G452" s="21" t="n"/>
      <c r="H452" s="21" t="n"/>
      <c r="I452" s="21" t="n"/>
      <c r="J452" s="19">
        <f>IF($I452="","",IFERROR(INDEX(DANH_MUC!$D$4:$D$1000,MATCH($I452,DANH_MUC!$C$4:$C$1000,0)),""))</f>
        <v/>
      </c>
      <c r="K452" s="21" t="n"/>
      <c r="L452" s="21" t="n"/>
      <c r="M452" s="20" t="n"/>
      <c r="N452" s="23" t="n"/>
      <c r="O452" s="21" t="n"/>
    </row>
    <row r="453">
      <c r="A453" s="19">
        <f>IF($C453="","CHƯA NHẬP",IF($B453="","HỢP LỆ","LỖI"))</f>
        <v/>
      </c>
      <c r="B453" s="19">
        <f>IF($C453="","",TEXTJOIN(" | ",TRUE,IF(COUNTIF('01_HO_SO'!$C$6:$C$505,$C453)=0,"Mã chưa có ở Bước 1",""),IF(COUNTIF($C$6:$C$505,$C453)&gt;1,"Trùng mã trong thông tin công việc",""),IF($D453="","Thiếu trạng thái làm việc",""),IF($E453="","Thiếu ngày vào công ty",IF(OR(NOT(ISNUMBER($E453)),$E453&gt;TODAY()),"Ngày vào công ty không hợp lệ","")),IF($G453="","Thiếu phòng ban",""),IF($I453="","Thiếu chức danh",""),IF(AND($M453&lt;&gt;"",COUNTIF('01_HO_SO'!$C$6:$C$505,$M453)=0),"Mã quản lý không tồn tại",""),IF(AND($M453&lt;&gt;"",$M453=$C453),"Không thể tự quản lý chính mình",""),IF(OR($N453&lt;0,$N453&gt;1000000000),"Lương cơ bản ngoài phạm vi","")))</f>
        <v/>
      </c>
      <c r="C453" s="20" t="n"/>
      <c r="D453" s="21" t="n"/>
      <c r="E453" s="22" t="n"/>
      <c r="F453" s="21" t="n"/>
      <c r="G453" s="21" t="n"/>
      <c r="H453" s="21" t="n"/>
      <c r="I453" s="21" t="n"/>
      <c r="J453" s="19">
        <f>IF($I453="","",IFERROR(INDEX(DANH_MUC!$D$4:$D$1000,MATCH($I453,DANH_MUC!$C$4:$C$1000,0)),""))</f>
        <v/>
      </c>
      <c r="K453" s="21" t="n"/>
      <c r="L453" s="21" t="n"/>
      <c r="M453" s="20" t="n"/>
      <c r="N453" s="23" t="n"/>
      <c r="O453" s="21" t="n"/>
    </row>
    <row r="454">
      <c r="A454" s="19">
        <f>IF($C454="","CHƯA NHẬP",IF($B454="","HỢP LỆ","LỖI"))</f>
        <v/>
      </c>
      <c r="B454" s="19">
        <f>IF($C454="","",TEXTJOIN(" | ",TRUE,IF(COUNTIF('01_HO_SO'!$C$6:$C$505,$C454)=0,"Mã chưa có ở Bước 1",""),IF(COUNTIF($C$6:$C$505,$C454)&gt;1,"Trùng mã trong thông tin công việc",""),IF($D454="","Thiếu trạng thái làm việc",""),IF($E454="","Thiếu ngày vào công ty",IF(OR(NOT(ISNUMBER($E454)),$E454&gt;TODAY()),"Ngày vào công ty không hợp lệ","")),IF($G454="","Thiếu phòng ban",""),IF($I454="","Thiếu chức danh",""),IF(AND($M454&lt;&gt;"",COUNTIF('01_HO_SO'!$C$6:$C$505,$M454)=0),"Mã quản lý không tồn tại",""),IF(AND($M454&lt;&gt;"",$M454=$C454),"Không thể tự quản lý chính mình",""),IF(OR($N454&lt;0,$N454&gt;1000000000),"Lương cơ bản ngoài phạm vi","")))</f>
        <v/>
      </c>
      <c r="C454" s="20" t="n"/>
      <c r="D454" s="21" t="n"/>
      <c r="E454" s="22" t="n"/>
      <c r="F454" s="21" t="n"/>
      <c r="G454" s="21" t="n"/>
      <c r="H454" s="21" t="n"/>
      <c r="I454" s="21" t="n"/>
      <c r="J454" s="19">
        <f>IF($I454="","",IFERROR(INDEX(DANH_MUC!$D$4:$D$1000,MATCH($I454,DANH_MUC!$C$4:$C$1000,0)),""))</f>
        <v/>
      </c>
      <c r="K454" s="21" t="n"/>
      <c r="L454" s="21" t="n"/>
      <c r="M454" s="20" t="n"/>
      <c r="N454" s="23" t="n"/>
      <c r="O454" s="21" t="n"/>
    </row>
    <row r="455">
      <c r="A455" s="19">
        <f>IF($C455="","CHƯA NHẬP",IF($B455="","HỢP LỆ","LỖI"))</f>
        <v/>
      </c>
      <c r="B455" s="19">
        <f>IF($C455="","",TEXTJOIN(" | ",TRUE,IF(COUNTIF('01_HO_SO'!$C$6:$C$505,$C455)=0,"Mã chưa có ở Bước 1",""),IF(COUNTIF($C$6:$C$505,$C455)&gt;1,"Trùng mã trong thông tin công việc",""),IF($D455="","Thiếu trạng thái làm việc",""),IF($E455="","Thiếu ngày vào công ty",IF(OR(NOT(ISNUMBER($E455)),$E455&gt;TODAY()),"Ngày vào công ty không hợp lệ","")),IF($G455="","Thiếu phòng ban",""),IF($I455="","Thiếu chức danh",""),IF(AND($M455&lt;&gt;"",COUNTIF('01_HO_SO'!$C$6:$C$505,$M455)=0),"Mã quản lý không tồn tại",""),IF(AND($M455&lt;&gt;"",$M455=$C455),"Không thể tự quản lý chính mình",""),IF(OR($N455&lt;0,$N455&gt;1000000000),"Lương cơ bản ngoài phạm vi","")))</f>
        <v/>
      </c>
      <c r="C455" s="20" t="n"/>
      <c r="D455" s="21" t="n"/>
      <c r="E455" s="22" t="n"/>
      <c r="F455" s="21" t="n"/>
      <c r="G455" s="21" t="n"/>
      <c r="H455" s="21" t="n"/>
      <c r="I455" s="21" t="n"/>
      <c r="J455" s="19">
        <f>IF($I455="","",IFERROR(INDEX(DANH_MUC!$D$4:$D$1000,MATCH($I455,DANH_MUC!$C$4:$C$1000,0)),""))</f>
        <v/>
      </c>
      <c r="K455" s="21" t="n"/>
      <c r="L455" s="21" t="n"/>
      <c r="M455" s="20" t="n"/>
      <c r="N455" s="23" t="n"/>
      <c r="O455" s="21" t="n"/>
    </row>
    <row r="456">
      <c r="A456" s="19">
        <f>IF($C456="","CHƯA NHẬP",IF($B456="","HỢP LỆ","LỖI"))</f>
        <v/>
      </c>
      <c r="B456" s="19">
        <f>IF($C456="","",TEXTJOIN(" | ",TRUE,IF(COUNTIF('01_HO_SO'!$C$6:$C$505,$C456)=0,"Mã chưa có ở Bước 1",""),IF(COUNTIF($C$6:$C$505,$C456)&gt;1,"Trùng mã trong thông tin công việc",""),IF($D456="","Thiếu trạng thái làm việc",""),IF($E456="","Thiếu ngày vào công ty",IF(OR(NOT(ISNUMBER($E456)),$E456&gt;TODAY()),"Ngày vào công ty không hợp lệ","")),IF($G456="","Thiếu phòng ban",""),IF($I456="","Thiếu chức danh",""),IF(AND($M456&lt;&gt;"",COUNTIF('01_HO_SO'!$C$6:$C$505,$M456)=0),"Mã quản lý không tồn tại",""),IF(AND($M456&lt;&gt;"",$M456=$C456),"Không thể tự quản lý chính mình",""),IF(OR($N456&lt;0,$N456&gt;1000000000),"Lương cơ bản ngoài phạm vi","")))</f>
        <v/>
      </c>
      <c r="C456" s="20" t="n"/>
      <c r="D456" s="21" t="n"/>
      <c r="E456" s="22" t="n"/>
      <c r="F456" s="21" t="n"/>
      <c r="G456" s="21" t="n"/>
      <c r="H456" s="21" t="n"/>
      <c r="I456" s="21" t="n"/>
      <c r="J456" s="19">
        <f>IF($I456="","",IFERROR(INDEX(DANH_MUC!$D$4:$D$1000,MATCH($I456,DANH_MUC!$C$4:$C$1000,0)),""))</f>
        <v/>
      </c>
      <c r="K456" s="21" t="n"/>
      <c r="L456" s="21" t="n"/>
      <c r="M456" s="20" t="n"/>
      <c r="N456" s="23" t="n"/>
      <c r="O456" s="21" t="n"/>
    </row>
    <row r="457">
      <c r="A457" s="19">
        <f>IF($C457="","CHƯA NHẬP",IF($B457="","HỢP LỆ","LỖI"))</f>
        <v/>
      </c>
      <c r="B457" s="19">
        <f>IF($C457="","",TEXTJOIN(" | ",TRUE,IF(COUNTIF('01_HO_SO'!$C$6:$C$505,$C457)=0,"Mã chưa có ở Bước 1",""),IF(COUNTIF($C$6:$C$505,$C457)&gt;1,"Trùng mã trong thông tin công việc",""),IF($D457="","Thiếu trạng thái làm việc",""),IF($E457="","Thiếu ngày vào công ty",IF(OR(NOT(ISNUMBER($E457)),$E457&gt;TODAY()),"Ngày vào công ty không hợp lệ","")),IF($G457="","Thiếu phòng ban",""),IF($I457="","Thiếu chức danh",""),IF(AND($M457&lt;&gt;"",COUNTIF('01_HO_SO'!$C$6:$C$505,$M457)=0),"Mã quản lý không tồn tại",""),IF(AND($M457&lt;&gt;"",$M457=$C457),"Không thể tự quản lý chính mình",""),IF(OR($N457&lt;0,$N457&gt;1000000000),"Lương cơ bản ngoài phạm vi","")))</f>
        <v/>
      </c>
      <c r="C457" s="20" t="n"/>
      <c r="D457" s="21" t="n"/>
      <c r="E457" s="22" t="n"/>
      <c r="F457" s="21" t="n"/>
      <c r="G457" s="21" t="n"/>
      <c r="H457" s="21" t="n"/>
      <c r="I457" s="21" t="n"/>
      <c r="J457" s="19">
        <f>IF($I457="","",IFERROR(INDEX(DANH_MUC!$D$4:$D$1000,MATCH($I457,DANH_MUC!$C$4:$C$1000,0)),""))</f>
        <v/>
      </c>
      <c r="K457" s="21" t="n"/>
      <c r="L457" s="21" t="n"/>
      <c r="M457" s="20" t="n"/>
      <c r="N457" s="23" t="n"/>
      <c r="O457" s="21" t="n"/>
    </row>
    <row r="458">
      <c r="A458" s="19">
        <f>IF($C458="","CHƯA NHẬP",IF($B458="","HỢP LỆ","LỖI"))</f>
        <v/>
      </c>
      <c r="B458" s="19">
        <f>IF($C458="","",TEXTJOIN(" | ",TRUE,IF(COUNTIF('01_HO_SO'!$C$6:$C$505,$C458)=0,"Mã chưa có ở Bước 1",""),IF(COUNTIF($C$6:$C$505,$C458)&gt;1,"Trùng mã trong thông tin công việc",""),IF($D458="","Thiếu trạng thái làm việc",""),IF($E458="","Thiếu ngày vào công ty",IF(OR(NOT(ISNUMBER($E458)),$E458&gt;TODAY()),"Ngày vào công ty không hợp lệ","")),IF($G458="","Thiếu phòng ban",""),IF($I458="","Thiếu chức danh",""),IF(AND($M458&lt;&gt;"",COUNTIF('01_HO_SO'!$C$6:$C$505,$M458)=0),"Mã quản lý không tồn tại",""),IF(AND($M458&lt;&gt;"",$M458=$C458),"Không thể tự quản lý chính mình",""),IF(OR($N458&lt;0,$N458&gt;1000000000),"Lương cơ bản ngoài phạm vi","")))</f>
        <v/>
      </c>
      <c r="C458" s="20" t="n"/>
      <c r="D458" s="21" t="n"/>
      <c r="E458" s="22" t="n"/>
      <c r="F458" s="21" t="n"/>
      <c r="G458" s="21" t="n"/>
      <c r="H458" s="21" t="n"/>
      <c r="I458" s="21" t="n"/>
      <c r="J458" s="19">
        <f>IF($I458="","",IFERROR(INDEX(DANH_MUC!$D$4:$D$1000,MATCH($I458,DANH_MUC!$C$4:$C$1000,0)),""))</f>
        <v/>
      </c>
      <c r="K458" s="21" t="n"/>
      <c r="L458" s="21" t="n"/>
      <c r="M458" s="20" t="n"/>
      <c r="N458" s="23" t="n"/>
      <c r="O458" s="21" t="n"/>
    </row>
    <row r="459">
      <c r="A459" s="19">
        <f>IF($C459="","CHƯA NHẬP",IF($B459="","HỢP LỆ","LỖI"))</f>
        <v/>
      </c>
      <c r="B459" s="19">
        <f>IF($C459="","",TEXTJOIN(" | ",TRUE,IF(COUNTIF('01_HO_SO'!$C$6:$C$505,$C459)=0,"Mã chưa có ở Bước 1",""),IF(COUNTIF($C$6:$C$505,$C459)&gt;1,"Trùng mã trong thông tin công việc",""),IF($D459="","Thiếu trạng thái làm việc",""),IF($E459="","Thiếu ngày vào công ty",IF(OR(NOT(ISNUMBER($E459)),$E459&gt;TODAY()),"Ngày vào công ty không hợp lệ","")),IF($G459="","Thiếu phòng ban",""),IF($I459="","Thiếu chức danh",""),IF(AND($M459&lt;&gt;"",COUNTIF('01_HO_SO'!$C$6:$C$505,$M459)=0),"Mã quản lý không tồn tại",""),IF(AND($M459&lt;&gt;"",$M459=$C459),"Không thể tự quản lý chính mình",""),IF(OR($N459&lt;0,$N459&gt;1000000000),"Lương cơ bản ngoài phạm vi","")))</f>
        <v/>
      </c>
      <c r="C459" s="20" t="n"/>
      <c r="D459" s="21" t="n"/>
      <c r="E459" s="22" t="n"/>
      <c r="F459" s="21" t="n"/>
      <c r="G459" s="21" t="n"/>
      <c r="H459" s="21" t="n"/>
      <c r="I459" s="21" t="n"/>
      <c r="J459" s="19">
        <f>IF($I459="","",IFERROR(INDEX(DANH_MUC!$D$4:$D$1000,MATCH($I459,DANH_MUC!$C$4:$C$1000,0)),""))</f>
        <v/>
      </c>
      <c r="K459" s="21" t="n"/>
      <c r="L459" s="21" t="n"/>
      <c r="M459" s="20" t="n"/>
      <c r="N459" s="23" t="n"/>
      <c r="O459" s="21" t="n"/>
    </row>
    <row r="460">
      <c r="A460" s="19">
        <f>IF($C460="","CHƯA NHẬP",IF($B460="","HỢP LỆ","LỖI"))</f>
        <v/>
      </c>
      <c r="B460" s="19">
        <f>IF($C460="","",TEXTJOIN(" | ",TRUE,IF(COUNTIF('01_HO_SO'!$C$6:$C$505,$C460)=0,"Mã chưa có ở Bước 1",""),IF(COUNTIF($C$6:$C$505,$C460)&gt;1,"Trùng mã trong thông tin công việc",""),IF($D460="","Thiếu trạng thái làm việc",""),IF($E460="","Thiếu ngày vào công ty",IF(OR(NOT(ISNUMBER($E460)),$E460&gt;TODAY()),"Ngày vào công ty không hợp lệ","")),IF($G460="","Thiếu phòng ban",""),IF($I460="","Thiếu chức danh",""),IF(AND($M460&lt;&gt;"",COUNTIF('01_HO_SO'!$C$6:$C$505,$M460)=0),"Mã quản lý không tồn tại",""),IF(AND($M460&lt;&gt;"",$M460=$C460),"Không thể tự quản lý chính mình",""),IF(OR($N460&lt;0,$N460&gt;1000000000),"Lương cơ bản ngoài phạm vi","")))</f>
        <v/>
      </c>
      <c r="C460" s="20" t="n"/>
      <c r="D460" s="21" t="n"/>
      <c r="E460" s="22" t="n"/>
      <c r="F460" s="21" t="n"/>
      <c r="G460" s="21" t="n"/>
      <c r="H460" s="21" t="n"/>
      <c r="I460" s="21" t="n"/>
      <c r="J460" s="19">
        <f>IF($I460="","",IFERROR(INDEX(DANH_MUC!$D$4:$D$1000,MATCH($I460,DANH_MUC!$C$4:$C$1000,0)),""))</f>
        <v/>
      </c>
      <c r="K460" s="21" t="n"/>
      <c r="L460" s="21" t="n"/>
      <c r="M460" s="20" t="n"/>
      <c r="N460" s="23" t="n"/>
      <c r="O460" s="21" t="n"/>
    </row>
    <row r="461">
      <c r="A461" s="19">
        <f>IF($C461="","CHƯA NHẬP",IF($B461="","HỢP LỆ","LỖI"))</f>
        <v/>
      </c>
      <c r="B461" s="19">
        <f>IF($C461="","",TEXTJOIN(" | ",TRUE,IF(COUNTIF('01_HO_SO'!$C$6:$C$505,$C461)=0,"Mã chưa có ở Bước 1",""),IF(COUNTIF($C$6:$C$505,$C461)&gt;1,"Trùng mã trong thông tin công việc",""),IF($D461="","Thiếu trạng thái làm việc",""),IF($E461="","Thiếu ngày vào công ty",IF(OR(NOT(ISNUMBER($E461)),$E461&gt;TODAY()),"Ngày vào công ty không hợp lệ","")),IF($G461="","Thiếu phòng ban",""),IF($I461="","Thiếu chức danh",""),IF(AND($M461&lt;&gt;"",COUNTIF('01_HO_SO'!$C$6:$C$505,$M461)=0),"Mã quản lý không tồn tại",""),IF(AND($M461&lt;&gt;"",$M461=$C461),"Không thể tự quản lý chính mình",""),IF(OR($N461&lt;0,$N461&gt;1000000000),"Lương cơ bản ngoài phạm vi","")))</f>
        <v/>
      </c>
      <c r="C461" s="20" t="n"/>
      <c r="D461" s="21" t="n"/>
      <c r="E461" s="22" t="n"/>
      <c r="F461" s="21" t="n"/>
      <c r="G461" s="21" t="n"/>
      <c r="H461" s="21" t="n"/>
      <c r="I461" s="21" t="n"/>
      <c r="J461" s="19">
        <f>IF($I461="","",IFERROR(INDEX(DANH_MUC!$D$4:$D$1000,MATCH($I461,DANH_MUC!$C$4:$C$1000,0)),""))</f>
        <v/>
      </c>
      <c r="K461" s="21" t="n"/>
      <c r="L461" s="21" t="n"/>
      <c r="M461" s="20" t="n"/>
      <c r="N461" s="23" t="n"/>
      <c r="O461" s="21" t="n"/>
    </row>
    <row r="462">
      <c r="A462" s="19">
        <f>IF($C462="","CHƯA NHẬP",IF($B462="","HỢP LỆ","LỖI"))</f>
        <v/>
      </c>
      <c r="B462" s="19">
        <f>IF($C462="","",TEXTJOIN(" | ",TRUE,IF(COUNTIF('01_HO_SO'!$C$6:$C$505,$C462)=0,"Mã chưa có ở Bước 1",""),IF(COUNTIF($C$6:$C$505,$C462)&gt;1,"Trùng mã trong thông tin công việc",""),IF($D462="","Thiếu trạng thái làm việc",""),IF($E462="","Thiếu ngày vào công ty",IF(OR(NOT(ISNUMBER($E462)),$E462&gt;TODAY()),"Ngày vào công ty không hợp lệ","")),IF($G462="","Thiếu phòng ban",""),IF($I462="","Thiếu chức danh",""),IF(AND($M462&lt;&gt;"",COUNTIF('01_HO_SO'!$C$6:$C$505,$M462)=0),"Mã quản lý không tồn tại",""),IF(AND($M462&lt;&gt;"",$M462=$C462),"Không thể tự quản lý chính mình",""),IF(OR($N462&lt;0,$N462&gt;1000000000),"Lương cơ bản ngoài phạm vi","")))</f>
        <v/>
      </c>
      <c r="C462" s="20" t="n"/>
      <c r="D462" s="21" t="n"/>
      <c r="E462" s="22" t="n"/>
      <c r="F462" s="21" t="n"/>
      <c r="G462" s="21" t="n"/>
      <c r="H462" s="21" t="n"/>
      <c r="I462" s="21" t="n"/>
      <c r="J462" s="19">
        <f>IF($I462="","",IFERROR(INDEX(DANH_MUC!$D$4:$D$1000,MATCH($I462,DANH_MUC!$C$4:$C$1000,0)),""))</f>
        <v/>
      </c>
      <c r="K462" s="21" t="n"/>
      <c r="L462" s="21" t="n"/>
      <c r="M462" s="20" t="n"/>
      <c r="N462" s="23" t="n"/>
      <c r="O462" s="21" t="n"/>
    </row>
    <row r="463">
      <c r="A463" s="19">
        <f>IF($C463="","CHƯA NHẬP",IF($B463="","HỢP LỆ","LỖI"))</f>
        <v/>
      </c>
      <c r="B463" s="19">
        <f>IF($C463="","",TEXTJOIN(" | ",TRUE,IF(COUNTIF('01_HO_SO'!$C$6:$C$505,$C463)=0,"Mã chưa có ở Bước 1",""),IF(COUNTIF($C$6:$C$505,$C463)&gt;1,"Trùng mã trong thông tin công việc",""),IF($D463="","Thiếu trạng thái làm việc",""),IF($E463="","Thiếu ngày vào công ty",IF(OR(NOT(ISNUMBER($E463)),$E463&gt;TODAY()),"Ngày vào công ty không hợp lệ","")),IF($G463="","Thiếu phòng ban",""),IF($I463="","Thiếu chức danh",""),IF(AND($M463&lt;&gt;"",COUNTIF('01_HO_SO'!$C$6:$C$505,$M463)=0),"Mã quản lý không tồn tại",""),IF(AND($M463&lt;&gt;"",$M463=$C463),"Không thể tự quản lý chính mình",""),IF(OR($N463&lt;0,$N463&gt;1000000000),"Lương cơ bản ngoài phạm vi","")))</f>
        <v/>
      </c>
      <c r="C463" s="20" t="n"/>
      <c r="D463" s="21" t="n"/>
      <c r="E463" s="22" t="n"/>
      <c r="F463" s="21" t="n"/>
      <c r="G463" s="21" t="n"/>
      <c r="H463" s="21" t="n"/>
      <c r="I463" s="21" t="n"/>
      <c r="J463" s="19">
        <f>IF($I463="","",IFERROR(INDEX(DANH_MUC!$D$4:$D$1000,MATCH($I463,DANH_MUC!$C$4:$C$1000,0)),""))</f>
        <v/>
      </c>
      <c r="K463" s="21" t="n"/>
      <c r="L463" s="21" t="n"/>
      <c r="M463" s="20" t="n"/>
      <c r="N463" s="23" t="n"/>
      <c r="O463" s="21" t="n"/>
    </row>
    <row r="464">
      <c r="A464" s="19">
        <f>IF($C464="","CHƯA NHẬP",IF($B464="","HỢP LỆ","LỖI"))</f>
        <v/>
      </c>
      <c r="B464" s="19">
        <f>IF($C464="","",TEXTJOIN(" | ",TRUE,IF(COUNTIF('01_HO_SO'!$C$6:$C$505,$C464)=0,"Mã chưa có ở Bước 1",""),IF(COUNTIF($C$6:$C$505,$C464)&gt;1,"Trùng mã trong thông tin công việc",""),IF($D464="","Thiếu trạng thái làm việc",""),IF($E464="","Thiếu ngày vào công ty",IF(OR(NOT(ISNUMBER($E464)),$E464&gt;TODAY()),"Ngày vào công ty không hợp lệ","")),IF($G464="","Thiếu phòng ban",""),IF($I464="","Thiếu chức danh",""),IF(AND($M464&lt;&gt;"",COUNTIF('01_HO_SO'!$C$6:$C$505,$M464)=0),"Mã quản lý không tồn tại",""),IF(AND($M464&lt;&gt;"",$M464=$C464),"Không thể tự quản lý chính mình",""),IF(OR($N464&lt;0,$N464&gt;1000000000),"Lương cơ bản ngoài phạm vi","")))</f>
        <v/>
      </c>
      <c r="C464" s="20" t="n"/>
      <c r="D464" s="21" t="n"/>
      <c r="E464" s="22" t="n"/>
      <c r="F464" s="21" t="n"/>
      <c r="G464" s="21" t="n"/>
      <c r="H464" s="21" t="n"/>
      <c r="I464" s="21" t="n"/>
      <c r="J464" s="19">
        <f>IF($I464="","",IFERROR(INDEX(DANH_MUC!$D$4:$D$1000,MATCH($I464,DANH_MUC!$C$4:$C$1000,0)),""))</f>
        <v/>
      </c>
      <c r="K464" s="21" t="n"/>
      <c r="L464" s="21" t="n"/>
      <c r="M464" s="20" t="n"/>
      <c r="N464" s="23" t="n"/>
      <c r="O464" s="21" t="n"/>
    </row>
    <row r="465">
      <c r="A465" s="19">
        <f>IF($C465="","CHƯA NHẬP",IF($B465="","HỢP LỆ","LỖI"))</f>
        <v/>
      </c>
      <c r="B465" s="19">
        <f>IF($C465="","",TEXTJOIN(" | ",TRUE,IF(COUNTIF('01_HO_SO'!$C$6:$C$505,$C465)=0,"Mã chưa có ở Bước 1",""),IF(COUNTIF($C$6:$C$505,$C465)&gt;1,"Trùng mã trong thông tin công việc",""),IF($D465="","Thiếu trạng thái làm việc",""),IF($E465="","Thiếu ngày vào công ty",IF(OR(NOT(ISNUMBER($E465)),$E465&gt;TODAY()),"Ngày vào công ty không hợp lệ","")),IF($G465="","Thiếu phòng ban",""),IF($I465="","Thiếu chức danh",""),IF(AND($M465&lt;&gt;"",COUNTIF('01_HO_SO'!$C$6:$C$505,$M465)=0),"Mã quản lý không tồn tại",""),IF(AND($M465&lt;&gt;"",$M465=$C465),"Không thể tự quản lý chính mình",""),IF(OR($N465&lt;0,$N465&gt;1000000000),"Lương cơ bản ngoài phạm vi","")))</f>
        <v/>
      </c>
      <c r="C465" s="20" t="n"/>
      <c r="D465" s="21" t="n"/>
      <c r="E465" s="22" t="n"/>
      <c r="F465" s="21" t="n"/>
      <c r="G465" s="21" t="n"/>
      <c r="H465" s="21" t="n"/>
      <c r="I465" s="21" t="n"/>
      <c r="J465" s="19">
        <f>IF($I465="","",IFERROR(INDEX(DANH_MUC!$D$4:$D$1000,MATCH($I465,DANH_MUC!$C$4:$C$1000,0)),""))</f>
        <v/>
      </c>
      <c r="K465" s="21" t="n"/>
      <c r="L465" s="21" t="n"/>
      <c r="M465" s="20" t="n"/>
      <c r="N465" s="23" t="n"/>
      <c r="O465" s="21" t="n"/>
    </row>
    <row r="466">
      <c r="A466" s="19">
        <f>IF($C466="","CHƯA NHẬP",IF($B466="","HỢP LỆ","LỖI"))</f>
        <v/>
      </c>
      <c r="B466" s="19">
        <f>IF($C466="","",TEXTJOIN(" | ",TRUE,IF(COUNTIF('01_HO_SO'!$C$6:$C$505,$C466)=0,"Mã chưa có ở Bước 1",""),IF(COUNTIF($C$6:$C$505,$C466)&gt;1,"Trùng mã trong thông tin công việc",""),IF($D466="","Thiếu trạng thái làm việc",""),IF($E466="","Thiếu ngày vào công ty",IF(OR(NOT(ISNUMBER($E466)),$E466&gt;TODAY()),"Ngày vào công ty không hợp lệ","")),IF($G466="","Thiếu phòng ban",""),IF($I466="","Thiếu chức danh",""),IF(AND($M466&lt;&gt;"",COUNTIF('01_HO_SO'!$C$6:$C$505,$M466)=0),"Mã quản lý không tồn tại",""),IF(AND($M466&lt;&gt;"",$M466=$C466),"Không thể tự quản lý chính mình",""),IF(OR($N466&lt;0,$N466&gt;1000000000),"Lương cơ bản ngoài phạm vi","")))</f>
        <v/>
      </c>
      <c r="C466" s="20" t="n"/>
      <c r="D466" s="21" t="n"/>
      <c r="E466" s="22" t="n"/>
      <c r="F466" s="21" t="n"/>
      <c r="G466" s="21" t="n"/>
      <c r="H466" s="21" t="n"/>
      <c r="I466" s="21" t="n"/>
      <c r="J466" s="19">
        <f>IF($I466="","",IFERROR(INDEX(DANH_MUC!$D$4:$D$1000,MATCH($I466,DANH_MUC!$C$4:$C$1000,0)),""))</f>
        <v/>
      </c>
      <c r="K466" s="21" t="n"/>
      <c r="L466" s="21" t="n"/>
      <c r="M466" s="20" t="n"/>
      <c r="N466" s="23" t="n"/>
      <c r="O466" s="21" t="n"/>
    </row>
    <row r="467">
      <c r="A467" s="19">
        <f>IF($C467="","CHƯA NHẬP",IF($B467="","HỢP LỆ","LỖI"))</f>
        <v/>
      </c>
      <c r="B467" s="19">
        <f>IF($C467="","",TEXTJOIN(" | ",TRUE,IF(COUNTIF('01_HO_SO'!$C$6:$C$505,$C467)=0,"Mã chưa có ở Bước 1",""),IF(COUNTIF($C$6:$C$505,$C467)&gt;1,"Trùng mã trong thông tin công việc",""),IF($D467="","Thiếu trạng thái làm việc",""),IF($E467="","Thiếu ngày vào công ty",IF(OR(NOT(ISNUMBER($E467)),$E467&gt;TODAY()),"Ngày vào công ty không hợp lệ","")),IF($G467="","Thiếu phòng ban",""),IF($I467="","Thiếu chức danh",""),IF(AND($M467&lt;&gt;"",COUNTIF('01_HO_SO'!$C$6:$C$505,$M467)=0),"Mã quản lý không tồn tại",""),IF(AND($M467&lt;&gt;"",$M467=$C467),"Không thể tự quản lý chính mình",""),IF(OR($N467&lt;0,$N467&gt;1000000000),"Lương cơ bản ngoài phạm vi","")))</f>
        <v/>
      </c>
      <c r="C467" s="20" t="n"/>
      <c r="D467" s="21" t="n"/>
      <c r="E467" s="22" t="n"/>
      <c r="F467" s="21" t="n"/>
      <c r="G467" s="21" t="n"/>
      <c r="H467" s="21" t="n"/>
      <c r="I467" s="21" t="n"/>
      <c r="J467" s="19">
        <f>IF($I467="","",IFERROR(INDEX(DANH_MUC!$D$4:$D$1000,MATCH($I467,DANH_MUC!$C$4:$C$1000,0)),""))</f>
        <v/>
      </c>
      <c r="K467" s="21" t="n"/>
      <c r="L467" s="21" t="n"/>
      <c r="M467" s="20" t="n"/>
      <c r="N467" s="23" t="n"/>
      <c r="O467" s="21" t="n"/>
    </row>
    <row r="468">
      <c r="A468" s="19">
        <f>IF($C468="","CHƯA NHẬP",IF($B468="","HỢP LỆ","LỖI"))</f>
        <v/>
      </c>
      <c r="B468" s="19">
        <f>IF($C468="","",TEXTJOIN(" | ",TRUE,IF(COUNTIF('01_HO_SO'!$C$6:$C$505,$C468)=0,"Mã chưa có ở Bước 1",""),IF(COUNTIF($C$6:$C$505,$C468)&gt;1,"Trùng mã trong thông tin công việc",""),IF($D468="","Thiếu trạng thái làm việc",""),IF($E468="","Thiếu ngày vào công ty",IF(OR(NOT(ISNUMBER($E468)),$E468&gt;TODAY()),"Ngày vào công ty không hợp lệ","")),IF($G468="","Thiếu phòng ban",""),IF($I468="","Thiếu chức danh",""),IF(AND($M468&lt;&gt;"",COUNTIF('01_HO_SO'!$C$6:$C$505,$M468)=0),"Mã quản lý không tồn tại",""),IF(AND($M468&lt;&gt;"",$M468=$C468),"Không thể tự quản lý chính mình",""),IF(OR($N468&lt;0,$N468&gt;1000000000),"Lương cơ bản ngoài phạm vi","")))</f>
        <v/>
      </c>
      <c r="C468" s="20" t="n"/>
      <c r="D468" s="21" t="n"/>
      <c r="E468" s="22" t="n"/>
      <c r="F468" s="21" t="n"/>
      <c r="G468" s="21" t="n"/>
      <c r="H468" s="21" t="n"/>
      <c r="I468" s="21" t="n"/>
      <c r="J468" s="19">
        <f>IF($I468="","",IFERROR(INDEX(DANH_MUC!$D$4:$D$1000,MATCH($I468,DANH_MUC!$C$4:$C$1000,0)),""))</f>
        <v/>
      </c>
      <c r="K468" s="21" t="n"/>
      <c r="L468" s="21" t="n"/>
      <c r="M468" s="20" t="n"/>
      <c r="N468" s="23" t="n"/>
      <c r="O468" s="21" t="n"/>
    </row>
    <row r="469">
      <c r="A469" s="19">
        <f>IF($C469="","CHƯA NHẬP",IF($B469="","HỢP LỆ","LỖI"))</f>
        <v/>
      </c>
      <c r="B469" s="19">
        <f>IF($C469="","",TEXTJOIN(" | ",TRUE,IF(COUNTIF('01_HO_SO'!$C$6:$C$505,$C469)=0,"Mã chưa có ở Bước 1",""),IF(COUNTIF($C$6:$C$505,$C469)&gt;1,"Trùng mã trong thông tin công việc",""),IF($D469="","Thiếu trạng thái làm việc",""),IF($E469="","Thiếu ngày vào công ty",IF(OR(NOT(ISNUMBER($E469)),$E469&gt;TODAY()),"Ngày vào công ty không hợp lệ","")),IF($G469="","Thiếu phòng ban",""),IF($I469="","Thiếu chức danh",""),IF(AND($M469&lt;&gt;"",COUNTIF('01_HO_SO'!$C$6:$C$505,$M469)=0),"Mã quản lý không tồn tại",""),IF(AND($M469&lt;&gt;"",$M469=$C469),"Không thể tự quản lý chính mình",""),IF(OR($N469&lt;0,$N469&gt;1000000000),"Lương cơ bản ngoài phạm vi","")))</f>
        <v/>
      </c>
      <c r="C469" s="20" t="n"/>
      <c r="D469" s="21" t="n"/>
      <c r="E469" s="22" t="n"/>
      <c r="F469" s="21" t="n"/>
      <c r="G469" s="21" t="n"/>
      <c r="H469" s="21" t="n"/>
      <c r="I469" s="21" t="n"/>
      <c r="J469" s="19">
        <f>IF($I469="","",IFERROR(INDEX(DANH_MUC!$D$4:$D$1000,MATCH($I469,DANH_MUC!$C$4:$C$1000,0)),""))</f>
        <v/>
      </c>
      <c r="K469" s="21" t="n"/>
      <c r="L469" s="21" t="n"/>
      <c r="M469" s="20" t="n"/>
      <c r="N469" s="23" t="n"/>
      <c r="O469" s="21" t="n"/>
    </row>
    <row r="470">
      <c r="A470" s="19">
        <f>IF($C470="","CHƯA NHẬP",IF($B470="","HỢP LỆ","LỖI"))</f>
        <v/>
      </c>
      <c r="B470" s="19">
        <f>IF($C470="","",TEXTJOIN(" | ",TRUE,IF(COUNTIF('01_HO_SO'!$C$6:$C$505,$C470)=0,"Mã chưa có ở Bước 1",""),IF(COUNTIF($C$6:$C$505,$C470)&gt;1,"Trùng mã trong thông tin công việc",""),IF($D470="","Thiếu trạng thái làm việc",""),IF($E470="","Thiếu ngày vào công ty",IF(OR(NOT(ISNUMBER($E470)),$E470&gt;TODAY()),"Ngày vào công ty không hợp lệ","")),IF($G470="","Thiếu phòng ban",""),IF($I470="","Thiếu chức danh",""),IF(AND($M470&lt;&gt;"",COUNTIF('01_HO_SO'!$C$6:$C$505,$M470)=0),"Mã quản lý không tồn tại",""),IF(AND($M470&lt;&gt;"",$M470=$C470),"Không thể tự quản lý chính mình",""),IF(OR($N470&lt;0,$N470&gt;1000000000),"Lương cơ bản ngoài phạm vi","")))</f>
        <v/>
      </c>
      <c r="C470" s="20" t="n"/>
      <c r="D470" s="21" t="n"/>
      <c r="E470" s="22" t="n"/>
      <c r="F470" s="21" t="n"/>
      <c r="G470" s="21" t="n"/>
      <c r="H470" s="21" t="n"/>
      <c r="I470" s="21" t="n"/>
      <c r="J470" s="19">
        <f>IF($I470="","",IFERROR(INDEX(DANH_MUC!$D$4:$D$1000,MATCH($I470,DANH_MUC!$C$4:$C$1000,0)),""))</f>
        <v/>
      </c>
      <c r="K470" s="21" t="n"/>
      <c r="L470" s="21" t="n"/>
      <c r="M470" s="20" t="n"/>
      <c r="N470" s="23" t="n"/>
      <c r="O470" s="21" t="n"/>
    </row>
    <row r="471">
      <c r="A471" s="19">
        <f>IF($C471="","CHƯA NHẬP",IF($B471="","HỢP LỆ","LỖI"))</f>
        <v/>
      </c>
      <c r="B471" s="19">
        <f>IF($C471="","",TEXTJOIN(" | ",TRUE,IF(COUNTIF('01_HO_SO'!$C$6:$C$505,$C471)=0,"Mã chưa có ở Bước 1",""),IF(COUNTIF($C$6:$C$505,$C471)&gt;1,"Trùng mã trong thông tin công việc",""),IF($D471="","Thiếu trạng thái làm việc",""),IF($E471="","Thiếu ngày vào công ty",IF(OR(NOT(ISNUMBER($E471)),$E471&gt;TODAY()),"Ngày vào công ty không hợp lệ","")),IF($G471="","Thiếu phòng ban",""),IF($I471="","Thiếu chức danh",""),IF(AND($M471&lt;&gt;"",COUNTIF('01_HO_SO'!$C$6:$C$505,$M471)=0),"Mã quản lý không tồn tại",""),IF(AND($M471&lt;&gt;"",$M471=$C471),"Không thể tự quản lý chính mình",""),IF(OR($N471&lt;0,$N471&gt;1000000000),"Lương cơ bản ngoài phạm vi","")))</f>
        <v/>
      </c>
      <c r="C471" s="20" t="n"/>
      <c r="D471" s="21" t="n"/>
      <c r="E471" s="22" t="n"/>
      <c r="F471" s="21" t="n"/>
      <c r="G471" s="21" t="n"/>
      <c r="H471" s="21" t="n"/>
      <c r="I471" s="21" t="n"/>
      <c r="J471" s="19">
        <f>IF($I471="","",IFERROR(INDEX(DANH_MUC!$D$4:$D$1000,MATCH($I471,DANH_MUC!$C$4:$C$1000,0)),""))</f>
        <v/>
      </c>
      <c r="K471" s="21" t="n"/>
      <c r="L471" s="21" t="n"/>
      <c r="M471" s="20" t="n"/>
      <c r="N471" s="23" t="n"/>
      <c r="O471" s="21" t="n"/>
    </row>
    <row r="472">
      <c r="A472" s="19">
        <f>IF($C472="","CHƯA NHẬP",IF($B472="","HỢP LỆ","LỖI"))</f>
        <v/>
      </c>
      <c r="B472" s="19">
        <f>IF($C472="","",TEXTJOIN(" | ",TRUE,IF(COUNTIF('01_HO_SO'!$C$6:$C$505,$C472)=0,"Mã chưa có ở Bước 1",""),IF(COUNTIF($C$6:$C$505,$C472)&gt;1,"Trùng mã trong thông tin công việc",""),IF($D472="","Thiếu trạng thái làm việc",""),IF($E472="","Thiếu ngày vào công ty",IF(OR(NOT(ISNUMBER($E472)),$E472&gt;TODAY()),"Ngày vào công ty không hợp lệ","")),IF($G472="","Thiếu phòng ban",""),IF($I472="","Thiếu chức danh",""),IF(AND($M472&lt;&gt;"",COUNTIF('01_HO_SO'!$C$6:$C$505,$M472)=0),"Mã quản lý không tồn tại",""),IF(AND($M472&lt;&gt;"",$M472=$C472),"Không thể tự quản lý chính mình",""),IF(OR($N472&lt;0,$N472&gt;1000000000),"Lương cơ bản ngoài phạm vi","")))</f>
        <v/>
      </c>
      <c r="C472" s="20" t="n"/>
      <c r="D472" s="21" t="n"/>
      <c r="E472" s="22" t="n"/>
      <c r="F472" s="21" t="n"/>
      <c r="G472" s="21" t="n"/>
      <c r="H472" s="21" t="n"/>
      <c r="I472" s="21" t="n"/>
      <c r="J472" s="19">
        <f>IF($I472="","",IFERROR(INDEX(DANH_MUC!$D$4:$D$1000,MATCH($I472,DANH_MUC!$C$4:$C$1000,0)),""))</f>
        <v/>
      </c>
      <c r="K472" s="21" t="n"/>
      <c r="L472" s="21" t="n"/>
      <c r="M472" s="20" t="n"/>
      <c r="N472" s="23" t="n"/>
      <c r="O472" s="21" t="n"/>
    </row>
    <row r="473">
      <c r="A473" s="19">
        <f>IF($C473="","CHƯA NHẬP",IF($B473="","HỢP LỆ","LỖI"))</f>
        <v/>
      </c>
      <c r="B473" s="19">
        <f>IF($C473="","",TEXTJOIN(" | ",TRUE,IF(COUNTIF('01_HO_SO'!$C$6:$C$505,$C473)=0,"Mã chưa có ở Bước 1",""),IF(COUNTIF($C$6:$C$505,$C473)&gt;1,"Trùng mã trong thông tin công việc",""),IF($D473="","Thiếu trạng thái làm việc",""),IF($E473="","Thiếu ngày vào công ty",IF(OR(NOT(ISNUMBER($E473)),$E473&gt;TODAY()),"Ngày vào công ty không hợp lệ","")),IF($G473="","Thiếu phòng ban",""),IF($I473="","Thiếu chức danh",""),IF(AND($M473&lt;&gt;"",COUNTIF('01_HO_SO'!$C$6:$C$505,$M473)=0),"Mã quản lý không tồn tại",""),IF(AND($M473&lt;&gt;"",$M473=$C473),"Không thể tự quản lý chính mình",""),IF(OR($N473&lt;0,$N473&gt;1000000000),"Lương cơ bản ngoài phạm vi","")))</f>
        <v/>
      </c>
      <c r="C473" s="20" t="n"/>
      <c r="D473" s="21" t="n"/>
      <c r="E473" s="22" t="n"/>
      <c r="F473" s="21" t="n"/>
      <c r="G473" s="21" t="n"/>
      <c r="H473" s="21" t="n"/>
      <c r="I473" s="21" t="n"/>
      <c r="J473" s="19">
        <f>IF($I473="","",IFERROR(INDEX(DANH_MUC!$D$4:$D$1000,MATCH($I473,DANH_MUC!$C$4:$C$1000,0)),""))</f>
        <v/>
      </c>
      <c r="K473" s="21" t="n"/>
      <c r="L473" s="21" t="n"/>
      <c r="M473" s="20" t="n"/>
      <c r="N473" s="23" t="n"/>
      <c r="O473" s="21" t="n"/>
    </row>
    <row r="474">
      <c r="A474" s="19">
        <f>IF($C474="","CHƯA NHẬP",IF($B474="","HỢP LỆ","LỖI"))</f>
        <v/>
      </c>
      <c r="B474" s="19">
        <f>IF($C474="","",TEXTJOIN(" | ",TRUE,IF(COUNTIF('01_HO_SO'!$C$6:$C$505,$C474)=0,"Mã chưa có ở Bước 1",""),IF(COUNTIF($C$6:$C$505,$C474)&gt;1,"Trùng mã trong thông tin công việc",""),IF($D474="","Thiếu trạng thái làm việc",""),IF($E474="","Thiếu ngày vào công ty",IF(OR(NOT(ISNUMBER($E474)),$E474&gt;TODAY()),"Ngày vào công ty không hợp lệ","")),IF($G474="","Thiếu phòng ban",""),IF($I474="","Thiếu chức danh",""),IF(AND($M474&lt;&gt;"",COUNTIF('01_HO_SO'!$C$6:$C$505,$M474)=0),"Mã quản lý không tồn tại",""),IF(AND($M474&lt;&gt;"",$M474=$C474),"Không thể tự quản lý chính mình",""),IF(OR($N474&lt;0,$N474&gt;1000000000),"Lương cơ bản ngoài phạm vi","")))</f>
        <v/>
      </c>
      <c r="C474" s="20" t="n"/>
      <c r="D474" s="21" t="n"/>
      <c r="E474" s="22" t="n"/>
      <c r="F474" s="21" t="n"/>
      <c r="G474" s="21" t="n"/>
      <c r="H474" s="21" t="n"/>
      <c r="I474" s="21" t="n"/>
      <c r="J474" s="19">
        <f>IF($I474="","",IFERROR(INDEX(DANH_MUC!$D$4:$D$1000,MATCH($I474,DANH_MUC!$C$4:$C$1000,0)),""))</f>
        <v/>
      </c>
      <c r="K474" s="21" t="n"/>
      <c r="L474" s="21" t="n"/>
      <c r="M474" s="20" t="n"/>
      <c r="N474" s="23" t="n"/>
      <c r="O474" s="21" t="n"/>
    </row>
    <row r="475">
      <c r="A475" s="19">
        <f>IF($C475="","CHƯA NHẬP",IF($B475="","HỢP LỆ","LỖI"))</f>
        <v/>
      </c>
      <c r="B475" s="19">
        <f>IF($C475="","",TEXTJOIN(" | ",TRUE,IF(COUNTIF('01_HO_SO'!$C$6:$C$505,$C475)=0,"Mã chưa có ở Bước 1",""),IF(COUNTIF($C$6:$C$505,$C475)&gt;1,"Trùng mã trong thông tin công việc",""),IF($D475="","Thiếu trạng thái làm việc",""),IF($E475="","Thiếu ngày vào công ty",IF(OR(NOT(ISNUMBER($E475)),$E475&gt;TODAY()),"Ngày vào công ty không hợp lệ","")),IF($G475="","Thiếu phòng ban",""),IF($I475="","Thiếu chức danh",""),IF(AND($M475&lt;&gt;"",COUNTIF('01_HO_SO'!$C$6:$C$505,$M475)=0),"Mã quản lý không tồn tại",""),IF(AND($M475&lt;&gt;"",$M475=$C475),"Không thể tự quản lý chính mình",""),IF(OR($N475&lt;0,$N475&gt;1000000000),"Lương cơ bản ngoài phạm vi","")))</f>
        <v/>
      </c>
      <c r="C475" s="20" t="n"/>
      <c r="D475" s="21" t="n"/>
      <c r="E475" s="22" t="n"/>
      <c r="F475" s="21" t="n"/>
      <c r="G475" s="21" t="n"/>
      <c r="H475" s="21" t="n"/>
      <c r="I475" s="21" t="n"/>
      <c r="J475" s="19">
        <f>IF($I475="","",IFERROR(INDEX(DANH_MUC!$D$4:$D$1000,MATCH($I475,DANH_MUC!$C$4:$C$1000,0)),""))</f>
        <v/>
      </c>
      <c r="K475" s="21" t="n"/>
      <c r="L475" s="21" t="n"/>
      <c r="M475" s="20" t="n"/>
      <c r="N475" s="23" t="n"/>
      <c r="O475" s="21" t="n"/>
    </row>
    <row r="476">
      <c r="A476" s="19">
        <f>IF($C476="","CHƯA NHẬP",IF($B476="","HỢP LỆ","LỖI"))</f>
        <v/>
      </c>
      <c r="B476" s="19">
        <f>IF($C476="","",TEXTJOIN(" | ",TRUE,IF(COUNTIF('01_HO_SO'!$C$6:$C$505,$C476)=0,"Mã chưa có ở Bước 1",""),IF(COUNTIF($C$6:$C$505,$C476)&gt;1,"Trùng mã trong thông tin công việc",""),IF($D476="","Thiếu trạng thái làm việc",""),IF($E476="","Thiếu ngày vào công ty",IF(OR(NOT(ISNUMBER($E476)),$E476&gt;TODAY()),"Ngày vào công ty không hợp lệ","")),IF($G476="","Thiếu phòng ban",""),IF($I476="","Thiếu chức danh",""),IF(AND($M476&lt;&gt;"",COUNTIF('01_HO_SO'!$C$6:$C$505,$M476)=0),"Mã quản lý không tồn tại",""),IF(AND($M476&lt;&gt;"",$M476=$C476),"Không thể tự quản lý chính mình",""),IF(OR($N476&lt;0,$N476&gt;1000000000),"Lương cơ bản ngoài phạm vi","")))</f>
        <v/>
      </c>
      <c r="C476" s="20" t="n"/>
      <c r="D476" s="21" t="n"/>
      <c r="E476" s="22" t="n"/>
      <c r="F476" s="21" t="n"/>
      <c r="G476" s="21" t="n"/>
      <c r="H476" s="21" t="n"/>
      <c r="I476" s="21" t="n"/>
      <c r="J476" s="19">
        <f>IF($I476="","",IFERROR(INDEX(DANH_MUC!$D$4:$D$1000,MATCH($I476,DANH_MUC!$C$4:$C$1000,0)),""))</f>
        <v/>
      </c>
      <c r="K476" s="21" t="n"/>
      <c r="L476" s="21" t="n"/>
      <c r="M476" s="20" t="n"/>
      <c r="N476" s="23" t="n"/>
      <c r="O476" s="21" t="n"/>
    </row>
    <row r="477">
      <c r="A477" s="19">
        <f>IF($C477="","CHƯA NHẬP",IF($B477="","HỢP LỆ","LỖI"))</f>
        <v/>
      </c>
      <c r="B477" s="19">
        <f>IF($C477="","",TEXTJOIN(" | ",TRUE,IF(COUNTIF('01_HO_SO'!$C$6:$C$505,$C477)=0,"Mã chưa có ở Bước 1",""),IF(COUNTIF($C$6:$C$505,$C477)&gt;1,"Trùng mã trong thông tin công việc",""),IF($D477="","Thiếu trạng thái làm việc",""),IF($E477="","Thiếu ngày vào công ty",IF(OR(NOT(ISNUMBER($E477)),$E477&gt;TODAY()),"Ngày vào công ty không hợp lệ","")),IF($G477="","Thiếu phòng ban",""),IF($I477="","Thiếu chức danh",""),IF(AND($M477&lt;&gt;"",COUNTIF('01_HO_SO'!$C$6:$C$505,$M477)=0),"Mã quản lý không tồn tại",""),IF(AND($M477&lt;&gt;"",$M477=$C477),"Không thể tự quản lý chính mình",""),IF(OR($N477&lt;0,$N477&gt;1000000000),"Lương cơ bản ngoài phạm vi","")))</f>
        <v/>
      </c>
      <c r="C477" s="20" t="n"/>
      <c r="D477" s="21" t="n"/>
      <c r="E477" s="22" t="n"/>
      <c r="F477" s="21" t="n"/>
      <c r="G477" s="21" t="n"/>
      <c r="H477" s="21" t="n"/>
      <c r="I477" s="21" t="n"/>
      <c r="J477" s="19">
        <f>IF($I477="","",IFERROR(INDEX(DANH_MUC!$D$4:$D$1000,MATCH($I477,DANH_MUC!$C$4:$C$1000,0)),""))</f>
        <v/>
      </c>
      <c r="K477" s="21" t="n"/>
      <c r="L477" s="21" t="n"/>
      <c r="M477" s="20" t="n"/>
      <c r="N477" s="23" t="n"/>
      <c r="O477" s="21" t="n"/>
    </row>
    <row r="478">
      <c r="A478" s="19">
        <f>IF($C478="","CHƯA NHẬP",IF($B478="","HỢP LỆ","LỖI"))</f>
        <v/>
      </c>
      <c r="B478" s="19">
        <f>IF($C478="","",TEXTJOIN(" | ",TRUE,IF(COUNTIF('01_HO_SO'!$C$6:$C$505,$C478)=0,"Mã chưa có ở Bước 1",""),IF(COUNTIF($C$6:$C$505,$C478)&gt;1,"Trùng mã trong thông tin công việc",""),IF($D478="","Thiếu trạng thái làm việc",""),IF($E478="","Thiếu ngày vào công ty",IF(OR(NOT(ISNUMBER($E478)),$E478&gt;TODAY()),"Ngày vào công ty không hợp lệ","")),IF($G478="","Thiếu phòng ban",""),IF($I478="","Thiếu chức danh",""),IF(AND($M478&lt;&gt;"",COUNTIF('01_HO_SO'!$C$6:$C$505,$M478)=0),"Mã quản lý không tồn tại",""),IF(AND($M478&lt;&gt;"",$M478=$C478),"Không thể tự quản lý chính mình",""),IF(OR($N478&lt;0,$N478&gt;1000000000),"Lương cơ bản ngoài phạm vi","")))</f>
        <v/>
      </c>
      <c r="C478" s="20" t="n"/>
      <c r="D478" s="21" t="n"/>
      <c r="E478" s="22" t="n"/>
      <c r="F478" s="21" t="n"/>
      <c r="G478" s="21" t="n"/>
      <c r="H478" s="21" t="n"/>
      <c r="I478" s="21" t="n"/>
      <c r="J478" s="19">
        <f>IF($I478="","",IFERROR(INDEX(DANH_MUC!$D$4:$D$1000,MATCH($I478,DANH_MUC!$C$4:$C$1000,0)),""))</f>
        <v/>
      </c>
      <c r="K478" s="21" t="n"/>
      <c r="L478" s="21" t="n"/>
      <c r="M478" s="20" t="n"/>
      <c r="N478" s="23" t="n"/>
      <c r="O478" s="21" t="n"/>
    </row>
    <row r="479">
      <c r="A479" s="19">
        <f>IF($C479="","CHƯA NHẬP",IF($B479="","HỢP LỆ","LỖI"))</f>
        <v/>
      </c>
      <c r="B479" s="19">
        <f>IF($C479="","",TEXTJOIN(" | ",TRUE,IF(COUNTIF('01_HO_SO'!$C$6:$C$505,$C479)=0,"Mã chưa có ở Bước 1",""),IF(COUNTIF($C$6:$C$505,$C479)&gt;1,"Trùng mã trong thông tin công việc",""),IF($D479="","Thiếu trạng thái làm việc",""),IF($E479="","Thiếu ngày vào công ty",IF(OR(NOT(ISNUMBER($E479)),$E479&gt;TODAY()),"Ngày vào công ty không hợp lệ","")),IF($G479="","Thiếu phòng ban",""),IF($I479="","Thiếu chức danh",""),IF(AND($M479&lt;&gt;"",COUNTIF('01_HO_SO'!$C$6:$C$505,$M479)=0),"Mã quản lý không tồn tại",""),IF(AND($M479&lt;&gt;"",$M479=$C479),"Không thể tự quản lý chính mình",""),IF(OR($N479&lt;0,$N479&gt;1000000000),"Lương cơ bản ngoài phạm vi","")))</f>
        <v/>
      </c>
      <c r="C479" s="20" t="n"/>
      <c r="D479" s="21" t="n"/>
      <c r="E479" s="22" t="n"/>
      <c r="F479" s="21" t="n"/>
      <c r="G479" s="21" t="n"/>
      <c r="H479" s="21" t="n"/>
      <c r="I479" s="21" t="n"/>
      <c r="J479" s="19">
        <f>IF($I479="","",IFERROR(INDEX(DANH_MUC!$D$4:$D$1000,MATCH($I479,DANH_MUC!$C$4:$C$1000,0)),""))</f>
        <v/>
      </c>
      <c r="K479" s="21" t="n"/>
      <c r="L479" s="21" t="n"/>
      <c r="M479" s="20" t="n"/>
      <c r="N479" s="23" t="n"/>
      <c r="O479" s="21" t="n"/>
    </row>
    <row r="480">
      <c r="A480" s="19">
        <f>IF($C480="","CHƯA NHẬP",IF($B480="","HỢP LỆ","LỖI"))</f>
        <v/>
      </c>
      <c r="B480" s="19">
        <f>IF($C480="","",TEXTJOIN(" | ",TRUE,IF(COUNTIF('01_HO_SO'!$C$6:$C$505,$C480)=0,"Mã chưa có ở Bước 1",""),IF(COUNTIF($C$6:$C$505,$C480)&gt;1,"Trùng mã trong thông tin công việc",""),IF($D480="","Thiếu trạng thái làm việc",""),IF($E480="","Thiếu ngày vào công ty",IF(OR(NOT(ISNUMBER($E480)),$E480&gt;TODAY()),"Ngày vào công ty không hợp lệ","")),IF($G480="","Thiếu phòng ban",""),IF($I480="","Thiếu chức danh",""),IF(AND($M480&lt;&gt;"",COUNTIF('01_HO_SO'!$C$6:$C$505,$M480)=0),"Mã quản lý không tồn tại",""),IF(AND($M480&lt;&gt;"",$M480=$C480),"Không thể tự quản lý chính mình",""),IF(OR($N480&lt;0,$N480&gt;1000000000),"Lương cơ bản ngoài phạm vi","")))</f>
        <v/>
      </c>
      <c r="C480" s="20" t="n"/>
      <c r="D480" s="21" t="n"/>
      <c r="E480" s="22" t="n"/>
      <c r="F480" s="21" t="n"/>
      <c r="G480" s="21" t="n"/>
      <c r="H480" s="21" t="n"/>
      <c r="I480" s="21" t="n"/>
      <c r="J480" s="19">
        <f>IF($I480="","",IFERROR(INDEX(DANH_MUC!$D$4:$D$1000,MATCH($I480,DANH_MUC!$C$4:$C$1000,0)),""))</f>
        <v/>
      </c>
      <c r="K480" s="21" t="n"/>
      <c r="L480" s="21" t="n"/>
      <c r="M480" s="20" t="n"/>
      <c r="N480" s="23" t="n"/>
      <c r="O480" s="21" t="n"/>
    </row>
    <row r="481">
      <c r="A481" s="19">
        <f>IF($C481="","CHƯA NHẬP",IF($B481="","HỢP LỆ","LỖI"))</f>
        <v/>
      </c>
      <c r="B481" s="19">
        <f>IF($C481="","",TEXTJOIN(" | ",TRUE,IF(COUNTIF('01_HO_SO'!$C$6:$C$505,$C481)=0,"Mã chưa có ở Bước 1",""),IF(COUNTIF($C$6:$C$505,$C481)&gt;1,"Trùng mã trong thông tin công việc",""),IF($D481="","Thiếu trạng thái làm việc",""),IF($E481="","Thiếu ngày vào công ty",IF(OR(NOT(ISNUMBER($E481)),$E481&gt;TODAY()),"Ngày vào công ty không hợp lệ","")),IF($G481="","Thiếu phòng ban",""),IF($I481="","Thiếu chức danh",""),IF(AND($M481&lt;&gt;"",COUNTIF('01_HO_SO'!$C$6:$C$505,$M481)=0),"Mã quản lý không tồn tại",""),IF(AND($M481&lt;&gt;"",$M481=$C481),"Không thể tự quản lý chính mình",""),IF(OR($N481&lt;0,$N481&gt;1000000000),"Lương cơ bản ngoài phạm vi","")))</f>
        <v/>
      </c>
      <c r="C481" s="20" t="n"/>
      <c r="D481" s="21" t="n"/>
      <c r="E481" s="22" t="n"/>
      <c r="F481" s="21" t="n"/>
      <c r="G481" s="21" t="n"/>
      <c r="H481" s="21" t="n"/>
      <c r="I481" s="21" t="n"/>
      <c r="J481" s="19">
        <f>IF($I481="","",IFERROR(INDEX(DANH_MUC!$D$4:$D$1000,MATCH($I481,DANH_MUC!$C$4:$C$1000,0)),""))</f>
        <v/>
      </c>
      <c r="K481" s="21" t="n"/>
      <c r="L481" s="21" t="n"/>
      <c r="M481" s="20" t="n"/>
      <c r="N481" s="23" t="n"/>
      <c r="O481" s="21" t="n"/>
    </row>
    <row r="482">
      <c r="A482" s="19">
        <f>IF($C482="","CHƯA NHẬP",IF($B482="","HỢP LỆ","LỖI"))</f>
        <v/>
      </c>
      <c r="B482" s="19">
        <f>IF($C482="","",TEXTJOIN(" | ",TRUE,IF(COUNTIF('01_HO_SO'!$C$6:$C$505,$C482)=0,"Mã chưa có ở Bước 1",""),IF(COUNTIF($C$6:$C$505,$C482)&gt;1,"Trùng mã trong thông tin công việc",""),IF($D482="","Thiếu trạng thái làm việc",""),IF($E482="","Thiếu ngày vào công ty",IF(OR(NOT(ISNUMBER($E482)),$E482&gt;TODAY()),"Ngày vào công ty không hợp lệ","")),IF($G482="","Thiếu phòng ban",""),IF($I482="","Thiếu chức danh",""),IF(AND($M482&lt;&gt;"",COUNTIF('01_HO_SO'!$C$6:$C$505,$M482)=0),"Mã quản lý không tồn tại",""),IF(AND($M482&lt;&gt;"",$M482=$C482),"Không thể tự quản lý chính mình",""),IF(OR($N482&lt;0,$N482&gt;1000000000),"Lương cơ bản ngoài phạm vi","")))</f>
        <v/>
      </c>
      <c r="C482" s="20" t="n"/>
      <c r="D482" s="21" t="n"/>
      <c r="E482" s="22" t="n"/>
      <c r="F482" s="21" t="n"/>
      <c r="G482" s="21" t="n"/>
      <c r="H482" s="21" t="n"/>
      <c r="I482" s="21" t="n"/>
      <c r="J482" s="19">
        <f>IF($I482="","",IFERROR(INDEX(DANH_MUC!$D$4:$D$1000,MATCH($I482,DANH_MUC!$C$4:$C$1000,0)),""))</f>
        <v/>
      </c>
      <c r="K482" s="21" t="n"/>
      <c r="L482" s="21" t="n"/>
      <c r="M482" s="20" t="n"/>
      <c r="N482" s="23" t="n"/>
      <c r="O482" s="21" t="n"/>
    </row>
    <row r="483">
      <c r="A483" s="19">
        <f>IF($C483="","CHƯA NHẬP",IF($B483="","HỢP LỆ","LỖI"))</f>
        <v/>
      </c>
      <c r="B483" s="19">
        <f>IF($C483="","",TEXTJOIN(" | ",TRUE,IF(COUNTIF('01_HO_SO'!$C$6:$C$505,$C483)=0,"Mã chưa có ở Bước 1",""),IF(COUNTIF($C$6:$C$505,$C483)&gt;1,"Trùng mã trong thông tin công việc",""),IF($D483="","Thiếu trạng thái làm việc",""),IF($E483="","Thiếu ngày vào công ty",IF(OR(NOT(ISNUMBER($E483)),$E483&gt;TODAY()),"Ngày vào công ty không hợp lệ","")),IF($G483="","Thiếu phòng ban",""),IF($I483="","Thiếu chức danh",""),IF(AND($M483&lt;&gt;"",COUNTIF('01_HO_SO'!$C$6:$C$505,$M483)=0),"Mã quản lý không tồn tại",""),IF(AND($M483&lt;&gt;"",$M483=$C483),"Không thể tự quản lý chính mình",""),IF(OR($N483&lt;0,$N483&gt;1000000000),"Lương cơ bản ngoài phạm vi","")))</f>
        <v/>
      </c>
      <c r="C483" s="20" t="n"/>
      <c r="D483" s="21" t="n"/>
      <c r="E483" s="22" t="n"/>
      <c r="F483" s="21" t="n"/>
      <c r="G483" s="21" t="n"/>
      <c r="H483" s="21" t="n"/>
      <c r="I483" s="21" t="n"/>
      <c r="J483" s="19">
        <f>IF($I483="","",IFERROR(INDEX(DANH_MUC!$D$4:$D$1000,MATCH($I483,DANH_MUC!$C$4:$C$1000,0)),""))</f>
        <v/>
      </c>
      <c r="K483" s="21" t="n"/>
      <c r="L483" s="21" t="n"/>
      <c r="M483" s="20" t="n"/>
      <c r="N483" s="23" t="n"/>
      <c r="O483" s="21" t="n"/>
    </row>
    <row r="484">
      <c r="A484" s="19">
        <f>IF($C484="","CHƯA NHẬP",IF($B484="","HỢP LỆ","LỖI"))</f>
        <v/>
      </c>
      <c r="B484" s="19">
        <f>IF($C484="","",TEXTJOIN(" | ",TRUE,IF(COUNTIF('01_HO_SO'!$C$6:$C$505,$C484)=0,"Mã chưa có ở Bước 1",""),IF(COUNTIF($C$6:$C$505,$C484)&gt;1,"Trùng mã trong thông tin công việc",""),IF($D484="","Thiếu trạng thái làm việc",""),IF($E484="","Thiếu ngày vào công ty",IF(OR(NOT(ISNUMBER($E484)),$E484&gt;TODAY()),"Ngày vào công ty không hợp lệ","")),IF($G484="","Thiếu phòng ban",""),IF($I484="","Thiếu chức danh",""),IF(AND($M484&lt;&gt;"",COUNTIF('01_HO_SO'!$C$6:$C$505,$M484)=0),"Mã quản lý không tồn tại",""),IF(AND($M484&lt;&gt;"",$M484=$C484),"Không thể tự quản lý chính mình",""),IF(OR($N484&lt;0,$N484&gt;1000000000),"Lương cơ bản ngoài phạm vi","")))</f>
        <v/>
      </c>
      <c r="C484" s="20" t="n"/>
      <c r="D484" s="21" t="n"/>
      <c r="E484" s="22" t="n"/>
      <c r="F484" s="21" t="n"/>
      <c r="G484" s="21" t="n"/>
      <c r="H484" s="21" t="n"/>
      <c r="I484" s="21" t="n"/>
      <c r="J484" s="19">
        <f>IF($I484="","",IFERROR(INDEX(DANH_MUC!$D$4:$D$1000,MATCH($I484,DANH_MUC!$C$4:$C$1000,0)),""))</f>
        <v/>
      </c>
      <c r="K484" s="21" t="n"/>
      <c r="L484" s="21" t="n"/>
      <c r="M484" s="20" t="n"/>
      <c r="N484" s="23" t="n"/>
      <c r="O484" s="21" t="n"/>
    </row>
    <row r="485">
      <c r="A485" s="19">
        <f>IF($C485="","CHƯA NHẬP",IF($B485="","HỢP LỆ","LỖI"))</f>
        <v/>
      </c>
      <c r="B485" s="19">
        <f>IF($C485="","",TEXTJOIN(" | ",TRUE,IF(COUNTIF('01_HO_SO'!$C$6:$C$505,$C485)=0,"Mã chưa có ở Bước 1",""),IF(COUNTIF($C$6:$C$505,$C485)&gt;1,"Trùng mã trong thông tin công việc",""),IF($D485="","Thiếu trạng thái làm việc",""),IF($E485="","Thiếu ngày vào công ty",IF(OR(NOT(ISNUMBER($E485)),$E485&gt;TODAY()),"Ngày vào công ty không hợp lệ","")),IF($G485="","Thiếu phòng ban",""),IF($I485="","Thiếu chức danh",""),IF(AND($M485&lt;&gt;"",COUNTIF('01_HO_SO'!$C$6:$C$505,$M485)=0),"Mã quản lý không tồn tại",""),IF(AND($M485&lt;&gt;"",$M485=$C485),"Không thể tự quản lý chính mình",""),IF(OR($N485&lt;0,$N485&gt;1000000000),"Lương cơ bản ngoài phạm vi","")))</f>
        <v/>
      </c>
      <c r="C485" s="20" t="n"/>
      <c r="D485" s="21" t="n"/>
      <c r="E485" s="22" t="n"/>
      <c r="F485" s="21" t="n"/>
      <c r="G485" s="21" t="n"/>
      <c r="H485" s="21" t="n"/>
      <c r="I485" s="21" t="n"/>
      <c r="J485" s="19">
        <f>IF($I485="","",IFERROR(INDEX(DANH_MUC!$D$4:$D$1000,MATCH($I485,DANH_MUC!$C$4:$C$1000,0)),""))</f>
        <v/>
      </c>
      <c r="K485" s="21" t="n"/>
      <c r="L485" s="21" t="n"/>
      <c r="M485" s="20" t="n"/>
      <c r="N485" s="23" t="n"/>
      <c r="O485" s="21" t="n"/>
    </row>
    <row r="486">
      <c r="A486" s="19">
        <f>IF($C486="","CHƯA NHẬP",IF($B486="","HỢP LỆ","LỖI"))</f>
        <v/>
      </c>
      <c r="B486" s="19">
        <f>IF($C486="","",TEXTJOIN(" | ",TRUE,IF(COUNTIF('01_HO_SO'!$C$6:$C$505,$C486)=0,"Mã chưa có ở Bước 1",""),IF(COUNTIF($C$6:$C$505,$C486)&gt;1,"Trùng mã trong thông tin công việc",""),IF($D486="","Thiếu trạng thái làm việc",""),IF($E486="","Thiếu ngày vào công ty",IF(OR(NOT(ISNUMBER($E486)),$E486&gt;TODAY()),"Ngày vào công ty không hợp lệ","")),IF($G486="","Thiếu phòng ban",""),IF($I486="","Thiếu chức danh",""),IF(AND($M486&lt;&gt;"",COUNTIF('01_HO_SO'!$C$6:$C$505,$M486)=0),"Mã quản lý không tồn tại",""),IF(AND($M486&lt;&gt;"",$M486=$C486),"Không thể tự quản lý chính mình",""),IF(OR($N486&lt;0,$N486&gt;1000000000),"Lương cơ bản ngoài phạm vi","")))</f>
        <v/>
      </c>
      <c r="C486" s="20" t="n"/>
      <c r="D486" s="21" t="n"/>
      <c r="E486" s="22" t="n"/>
      <c r="F486" s="21" t="n"/>
      <c r="G486" s="21" t="n"/>
      <c r="H486" s="21" t="n"/>
      <c r="I486" s="21" t="n"/>
      <c r="J486" s="19">
        <f>IF($I486="","",IFERROR(INDEX(DANH_MUC!$D$4:$D$1000,MATCH($I486,DANH_MUC!$C$4:$C$1000,0)),""))</f>
        <v/>
      </c>
      <c r="K486" s="21" t="n"/>
      <c r="L486" s="21" t="n"/>
      <c r="M486" s="20" t="n"/>
      <c r="N486" s="23" t="n"/>
      <c r="O486" s="21" t="n"/>
    </row>
    <row r="487">
      <c r="A487" s="19">
        <f>IF($C487="","CHƯA NHẬP",IF($B487="","HỢP LỆ","LỖI"))</f>
        <v/>
      </c>
      <c r="B487" s="19">
        <f>IF($C487="","",TEXTJOIN(" | ",TRUE,IF(COUNTIF('01_HO_SO'!$C$6:$C$505,$C487)=0,"Mã chưa có ở Bước 1",""),IF(COUNTIF($C$6:$C$505,$C487)&gt;1,"Trùng mã trong thông tin công việc",""),IF($D487="","Thiếu trạng thái làm việc",""),IF($E487="","Thiếu ngày vào công ty",IF(OR(NOT(ISNUMBER($E487)),$E487&gt;TODAY()),"Ngày vào công ty không hợp lệ","")),IF($G487="","Thiếu phòng ban",""),IF($I487="","Thiếu chức danh",""),IF(AND($M487&lt;&gt;"",COUNTIF('01_HO_SO'!$C$6:$C$505,$M487)=0),"Mã quản lý không tồn tại",""),IF(AND($M487&lt;&gt;"",$M487=$C487),"Không thể tự quản lý chính mình",""),IF(OR($N487&lt;0,$N487&gt;1000000000),"Lương cơ bản ngoài phạm vi","")))</f>
        <v/>
      </c>
      <c r="C487" s="20" t="n"/>
      <c r="D487" s="21" t="n"/>
      <c r="E487" s="22" t="n"/>
      <c r="F487" s="21" t="n"/>
      <c r="G487" s="21" t="n"/>
      <c r="H487" s="21" t="n"/>
      <c r="I487" s="21" t="n"/>
      <c r="J487" s="19">
        <f>IF($I487="","",IFERROR(INDEX(DANH_MUC!$D$4:$D$1000,MATCH($I487,DANH_MUC!$C$4:$C$1000,0)),""))</f>
        <v/>
      </c>
      <c r="K487" s="21" t="n"/>
      <c r="L487" s="21" t="n"/>
      <c r="M487" s="20" t="n"/>
      <c r="N487" s="23" t="n"/>
      <c r="O487" s="21" t="n"/>
    </row>
    <row r="488">
      <c r="A488" s="19">
        <f>IF($C488="","CHƯA NHẬP",IF($B488="","HỢP LỆ","LỖI"))</f>
        <v/>
      </c>
      <c r="B488" s="19">
        <f>IF($C488="","",TEXTJOIN(" | ",TRUE,IF(COUNTIF('01_HO_SO'!$C$6:$C$505,$C488)=0,"Mã chưa có ở Bước 1",""),IF(COUNTIF($C$6:$C$505,$C488)&gt;1,"Trùng mã trong thông tin công việc",""),IF($D488="","Thiếu trạng thái làm việc",""),IF($E488="","Thiếu ngày vào công ty",IF(OR(NOT(ISNUMBER($E488)),$E488&gt;TODAY()),"Ngày vào công ty không hợp lệ","")),IF($G488="","Thiếu phòng ban",""),IF($I488="","Thiếu chức danh",""),IF(AND($M488&lt;&gt;"",COUNTIF('01_HO_SO'!$C$6:$C$505,$M488)=0),"Mã quản lý không tồn tại",""),IF(AND($M488&lt;&gt;"",$M488=$C488),"Không thể tự quản lý chính mình",""),IF(OR($N488&lt;0,$N488&gt;1000000000),"Lương cơ bản ngoài phạm vi","")))</f>
        <v/>
      </c>
      <c r="C488" s="20" t="n"/>
      <c r="D488" s="21" t="n"/>
      <c r="E488" s="22" t="n"/>
      <c r="F488" s="21" t="n"/>
      <c r="G488" s="21" t="n"/>
      <c r="H488" s="21" t="n"/>
      <c r="I488" s="21" t="n"/>
      <c r="J488" s="19">
        <f>IF($I488="","",IFERROR(INDEX(DANH_MUC!$D$4:$D$1000,MATCH($I488,DANH_MUC!$C$4:$C$1000,0)),""))</f>
        <v/>
      </c>
      <c r="K488" s="21" t="n"/>
      <c r="L488" s="21" t="n"/>
      <c r="M488" s="20" t="n"/>
      <c r="N488" s="23" t="n"/>
      <c r="O488" s="21" t="n"/>
    </row>
    <row r="489">
      <c r="A489" s="19">
        <f>IF($C489="","CHƯA NHẬP",IF($B489="","HỢP LỆ","LỖI"))</f>
        <v/>
      </c>
      <c r="B489" s="19">
        <f>IF($C489="","",TEXTJOIN(" | ",TRUE,IF(COUNTIF('01_HO_SO'!$C$6:$C$505,$C489)=0,"Mã chưa có ở Bước 1",""),IF(COUNTIF($C$6:$C$505,$C489)&gt;1,"Trùng mã trong thông tin công việc",""),IF($D489="","Thiếu trạng thái làm việc",""),IF($E489="","Thiếu ngày vào công ty",IF(OR(NOT(ISNUMBER($E489)),$E489&gt;TODAY()),"Ngày vào công ty không hợp lệ","")),IF($G489="","Thiếu phòng ban",""),IF($I489="","Thiếu chức danh",""),IF(AND($M489&lt;&gt;"",COUNTIF('01_HO_SO'!$C$6:$C$505,$M489)=0),"Mã quản lý không tồn tại",""),IF(AND($M489&lt;&gt;"",$M489=$C489),"Không thể tự quản lý chính mình",""),IF(OR($N489&lt;0,$N489&gt;1000000000),"Lương cơ bản ngoài phạm vi","")))</f>
        <v/>
      </c>
      <c r="C489" s="20" t="n"/>
      <c r="D489" s="21" t="n"/>
      <c r="E489" s="22" t="n"/>
      <c r="F489" s="21" t="n"/>
      <c r="G489" s="21" t="n"/>
      <c r="H489" s="21" t="n"/>
      <c r="I489" s="21" t="n"/>
      <c r="J489" s="19">
        <f>IF($I489="","",IFERROR(INDEX(DANH_MUC!$D$4:$D$1000,MATCH($I489,DANH_MUC!$C$4:$C$1000,0)),""))</f>
        <v/>
      </c>
      <c r="K489" s="21" t="n"/>
      <c r="L489" s="21" t="n"/>
      <c r="M489" s="20" t="n"/>
      <c r="N489" s="23" t="n"/>
      <c r="O489" s="21" t="n"/>
    </row>
    <row r="490">
      <c r="A490" s="19">
        <f>IF($C490="","CHƯA NHẬP",IF($B490="","HỢP LỆ","LỖI"))</f>
        <v/>
      </c>
      <c r="B490" s="19">
        <f>IF($C490="","",TEXTJOIN(" | ",TRUE,IF(COUNTIF('01_HO_SO'!$C$6:$C$505,$C490)=0,"Mã chưa có ở Bước 1",""),IF(COUNTIF($C$6:$C$505,$C490)&gt;1,"Trùng mã trong thông tin công việc",""),IF($D490="","Thiếu trạng thái làm việc",""),IF($E490="","Thiếu ngày vào công ty",IF(OR(NOT(ISNUMBER($E490)),$E490&gt;TODAY()),"Ngày vào công ty không hợp lệ","")),IF($G490="","Thiếu phòng ban",""),IF($I490="","Thiếu chức danh",""),IF(AND($M490&lt;&gt;"",COUNTIF('01_HO_SO'!$C$6:$C$505,$M490)=0),"Mã quản lý không tồn tại",""),IF(AND($M490&lt;&gt;"",$M490=$C490),"Không thể tự quản lý chính mình",""),IF(OR($N490&lt;0,$N490&gt;1000000000),"Lương cơ bản ngoài phạm vi","")))</f>
        <v/>
      </c>
      <c r="C490" s="20" t="n"/>
      <c r="D490" s="21" t="n"/>
      <c r="E490" s="22" t="n"/>
      <c r="F490" s="21" t="n"/>
      <c r="G490" s="21" t="n"/>
      <c r="H490" s="21" t="n"/>
      <c r="I490" s="21" t="n"/>
      <c r="J490" s="19">
        <f>IF($I490="","",IFERROR(INDEX(DANH_MUC!$D$4:$D$1000,MATCH($I490,DANH_MUC!$C$4:$C$1000,0)),""))</f>
        <v/>
      </c>
      <c r="K490" s="21" t="n"/>
      <c r="L490" s="21" t="n"/>
      <c r="M490" s="20" t="n"/>
      <c r="N490" s="23" t="n"/>
      <c r="O490" s="21" t="n"/>
    </row>
    <row r="491">
      <c r="A491" s="19">
        <f>IF($C491="","CHƯA NHẬP",IF($B491="","HỢP LỆ","LỖI"))</f>
        <v/>
      </c>
      <c r="B491" s="19">
        <f>IF($C491="","",TEXTJOIN(" | ",TRUE,IF(COUNTIF('01_HO_SO'!$C$6:$C$505,$C491)=0,"Mã chưa có ở Bước 1",""),IF(COUNTIF($C$6:$C$505,$C491)&gt;1,"Trùng mã trong thông tin công việc",""),IF($D491="","Thiếu trạng thái làm việc",""),IF($E491="","Thiếu ngày vào công ty",IF(OR(NOT(ISNUMBER($E491)),$E491&gt;TODAY()),"Ngày vào công ty không hợp lệ","")),IF($G491="","Thiếu phòng ban",""),IF($I491="","Thiếu chức danh",""),IF(AND($M491&lt;&gt;"",COUNTIF('01_HO_SO'!$C$6:$C$505,$M491)=0),"Mã quản lý không tồn tại",""),IF(AND($M491&lt;&gt;"",$M491=$C491),"Không thể tự quản lý chính mình",""),IF(OR($N491&lt;0,$N491&gt;1000000000),"Lương cơ bản ngoài phạm vi","")))</f>
        <v/>
      </c>
      <c r="C491" s="20" t="n"/>
      <c r="D491" s="21" t="n"/>
      <c r="E491" s="22" t="n"/>
      <c r="F491" s="21" t="n"/>
      <c r="G491" s="21" t="n"/>
      <c r="H491" s="21" t="n"/>
      <c r="I491" s="21" t="n"/>
      <c r="J491" s="19">
        <f>IF($I491="","",IFERROR(INDEX(DANH_MUC!$D$4:$D$1000,MATCH($I491,DANH_MUC!$C$4:$C$1000,0)),""))</f>
        <v/>
      </c>
      <c r="K491" s="21" t="n"/>
      <c r="L491" s="21" t="n"/>
      <c r="M491" s="20" t="n"/>
      <c r="N491" s="23" t="n"/>
      <c r="O491" s="21" t="n"/>
    </row>
    <row r="492">
      <c r="A492" s="19">
        <f>IF($C492="","CHƯA NHẬP",IF($B492="","HỢP LỆ","LỖI"))</f>
        <v/>
      </c>
      <c r="B492" s="19">
        <f>IF($C492="","",TEXTJOIN(" | ",TRUE,IF(COUNTIF('01_HO_SO'!$C$6:$C$505,$C492)=0,"Mã chưa có ở Bước 1",""),IF(COUNTIF($C$6:$C$505,$C492)&gt;1,"Trùng mã trong thông tin công việc",""),IF($D492="","Thiếu trạng thái làm việc",""),IF($E492="","Thiếu ngày vào công ty",IF(OR(NOT(ISNUMBER($E492)),$E492&gt;TODAY()),"Ngày vào công ty không hợp lệ","")),IF($G492="","Thiếu phòng ban",""),IF($I492="","Thiếu chức danh",""),IF(AND($M492&lt;&gt;"",COUNTIF('01_HO_SO'!$C$6:$C$505,$M492)=0),"Mã quản lý không tồn tại",""),IF(AND($M492&lt;&gt;"",$M492=$C492),"Không thể tự quản lý chính mình",""),IF(OR($N492&lt;0,$N492&gt;1000000000),"Lương cơ bản ngoài phạm vi","")))</f>
        <v/>
      </c>
      <c r="C492" s="20" t="n"/>
      <c r="D492" s="21" t="n"/>
      <c r="E492" s="22" t="n"/>
      <c r="F492" s="21" t="n"/>
      <c r="G492" s="21" t="n"/>
      <c r="H492" s="21" t="n"/>
      <c r="I492" s="21" t="n"/>
      <c r="J492" s="19">
        <f>IF($I492="","",IFERROR(INDEX(DANH_MUC!$D$4:$D$1000,MATCH($I492,DANH_MUC!$C$4:$C$1000,0)),""))</f>
        <v/>
      </c>
      <c r="K492" s="21" t="n"/>
      <c r="L492" s="21" t="n"/>
      <c r="M492" s="20" t="n"/>
      <c r="N492" s="23" t="n"/>
      <c r="O492" s="21" t="n"/>
    </row>
    <row r="493">
      <c r="A493" s="19">
        <f>IF($C493="","CHƯA NHẬP",IF($B493="","HỢP LỆ","LỖI"))</f>
        <v/>
      </c>
      <c r="B493" s="19">
        <f>IF($C493="","",TEXTJOIN(" | ",TRUE,IF(COUNTIF('01_HO_SO'!$C$6:$C$505,$C493)=0,"Mã chưa có ở Bước 1",""),IF(COUNTIF($C$6:$C$505,$C493)&gt;1,"Trùng mã trong thông tin công việc",""),IF($D493="","Thiếu trạng thái làm việc",""),IF($E493="","Thiếu ngày vào công ty",IF(OR(NOT(ISNUMBER($E493)),$E493&gt;TODAY()),"Ngày vào công ty không hợp lệ","")),IF($G493="","Thiếu phòng ban",""),IF($I493="","Thiếu chức danh",""),IF(AND($M493&lt;&gt;"",COUNTIF('01_HO_SO'!$C$6:$C$505,$M493)=0),"Mã quản lý không tồn tại",""),IF(AND($M493&lt;&gt;"",$M493=$C493),"Không thể tự quản lý chính mình",""),IF(OR($N493&lt;0,$N493&gt;1000000000),"Lương cơ bản ngoài phạm vi","")))</f>
        <v/>
      </c>
      <c r="C493" s="20" t="n"/>
      <c r="D493" s="21" t="n"/>
      <c r="E493" s="22" t="n"/>
      <c r="F493" s="21" t="n"/>
      <c r="G493" s="21" t="n"/>
      <c r="H493" s="21" t="n"/>
      <c r="I493" s="21" t="n"/>
      <c r="J493" s="19">
        <f>IF($I493="","",IFERROR(INDEX(DANH_MUC!$D$4:$D$1000,MATCH($I493,DANH_MUC!$C$4:$C$1000,0)),""))</f>
        <v/>
      </c>
      <c r="K493" s="21" t="n"/>
      <c r="L493" s="21" t="n"/>
      <c r="M493" s="20" t="n"/>
      <c r="N493" s="23" t="n"/>
      <c r="O493" s="21" t="n"/>
    </row>
    <row r="494">
      <c r="A494" s="19">
        <f>IF($C494="","CHƯA NHẬP",IF($B494="","HỢP LỆ","LỖI"))</f>
        <v/>
      </c>
      <c r="B494" s="19">
        <f>IF($C494="","",TEXTJOIN(" | ",TRUE,IF(COUNTIF('01_HO_SO'!$C$6:$C$505,$C494)=0,"Mã chưa có ở Bước 1",""),IF(COUNTIF($C$6:$C$505,$C494)&gt;1,"Trùng mã trong thông tin công việc",""),IF($D494="","Thiếu trạng thái làm việc",""),IF($E494="","Thiếu ngày vào công ty",IF(OR(NOT(ISNUMBER($E494)),$E494&gt;TODAY()),"Ngày vào công ty không hợp lệ","")),IF($G494="","Thiếu phòng ban",""),IF($I494="","Thiếu chức danh",""),IF(AND($M494&lt;&gt;"",COUNTIF('01_HO_SO'!$C$6:$C$505,$M494)=0),"Mã quản lý không tồn tại",""),IF(AND($M494&lt;&gt;"",$M494=$C494),"Không thể tự quản lý chính mình",""),IF(OR($N494&lt;0,$N494&gt;1000000000),"Lương cơ bản ngoài phạm vi","")))</f>
        <v/>
      </c>
      <c r="C494" s="20" t="n"/>
      <c r="D494" s="21" t="n"/>
      <c r="E494" s="22" t="n"/>
      <c r="F494" s="21" t="n"/>
      <c r="G494" s="21" t="n"/>
      <c r="H494" s="21" t="n"/>
      <c r="I494" s="21" t="n"/>
      <c r="J494" s="19">
        <f>IF($I494="","",IFERROR(INDEX(DANH_MUC!$D$4:$D$1000,MATCH($I494,DANH_MUC!$C$4:$C$1000,0)),""))</f>
        <v/>
      </c>
      <c r="K494" s="21" t="n"/>
      <c r="L494" s="21" t="n"/>
      <c r="M494" s="20" t="n"/>
      <c r="N494" s="23" t="n"/>
      <c r="O494" s="21" t="n"/>
    </row>
    <row r="495">
      <c r="A495" s="19">
        <f>IF($C495="","CHƯA NHẬP",IF($B495="","HỢP LỆ","LỖI"))</f>
        <v/>
      </c>
      <c r="B495" s="19">
        <f>IF($C495="","",TEXTJOIN(" | ",TRUE,IF(COUNTIF('01_HO_SO'!$C$6:$C$505,$C495)=0,"Mã chưa có ở Bước 1",""),IF(COUNTIF($C$6:$C$505,$C495)&gt;1,"Trùng mã trong thông tin công việc",""),IF($D495="","Thiếu trạng thái làm việc",""),IF($E495="","Thiếu ngày vào công ty",IF(OR(NOT(ISNUMBER($E495)),$E495&gt;TODAY()),"Ngày vào công ty không hợp lệ","")),IF($G495="","Thiếu phòng ban",""),IF($I495="","Thiếu chức danh",""),IF(AND($M495&lt;&gt;"",COUNTIF('01_HO_SO'!$C$6:$C$505,$M495)=0),"Mã quản lý không tồn tại",""),IF(AND($M495&lt;&gt;"",$M495=$C495),"Không thể tự quản lý chính mình",""),IF(OR($N495&lt;0,$N495&gt;1000000000),"Lương cơ bản ngoài phạm vi","")))</f>
        <v/>
      </c>
      <c r="C495" s="20" t="n"/>
      <c r="D495" s="21" t="n"/>
      <c r="E495" s="22" t="n"/>
      <c r="F495" s="21" t="n"/>
      <c r="G495" s="21" t="n"/>
      <c r="H495" s="21" t="n"/>
      <c r="I495" s="21" t="n"/>
      <c r="J495" s="19">
        <f>IF($I495="","",IFERROR(INDEX(DANH_MUC!$D$4:$D$1000,MATCH($I495,DANH_MUC!$C$4:$C$1000,0)),""))</f>
        <v/>
      </c>
      <c r="K495" s="21" t="n"/>
      <c r="L495" s="21" t="n"/>
      <c r="M495" s="20" t="n"/>
      <c r="N495" s="23" t="n"/>
      <c r="O495" s="21" t="n"/>
    </row>
    <row r="496">
      <c r="A496" s="19">
        <f>IF($C496="","CHƯA NHẬP",IF($B496="","HỢP LỆ","LỖI"))</f>
        <v/>
      </c>
      <c r="B496" s="19">
        <f>IF($C496="","",TEXTJOIN(" | ",TRUE,IF(COUNTIF('01_HO_SO'!$C$6:$C$505,$C496)=0,"Mã chưa có ở Bước 1",""),IF(COUNTIF($C$6:$C$505,$C496)&gt;1,"Trùng mã trong thông tin công việc",""),IF($D496="","Thiếu trạng thái làm việc",""),IF($E496="","Thiếu ngày vào công ty",IF(OR(NOT(ISNUMBER($E496)),$E496&gt;TODAY()),"Ngày vào công ty không hợp lệ","")),IF($G496="","Thiếu phòng ban",""),IF($I496="","Thiếu chức danh",""),IF(AND($M496&lt;&gt;"",COUNTIF('01_HO_SO'!$C$6:$C$505,$M496)=0),"Mã quản lý không tồn tại",""),IF(AND($M496&lt;&gt;"",$M496=$C496),"Không thể tự quản lý chính mình",""),IF(OR($N496&lt;0,$N496&gt;1000000000),"Lương cơ bản ngoài phạm vi","")))</f>
        <v/>
      </c>
      <c r="C496" s="20" t="n"/>
      <c r="D496" s="21" t="n"/>
      <c r="E496" s="22" t="n"/>
      <c r="F496" s="21" t="n"/>
      <c r="G496" s="21" t="n"/>
      <c r="H496" s="21" t="n"/>
      <c r="I496" s="21" t="n"/>
      <c r="J496" s="19">
        <f>IF($I496="","",IFERROR(INDEX(DANH_MUC!$D$4:$D$1000,MATCH($I496,DANH_MUC!$C$4:$C$1000,0)),""))</f>
        <v/>
      </c>
      <c r="K496" s="21" t="n"/>
      <c r="L496" s="21" t="n"/>
      <c r="M496" s="20" t="n"/>
      <c r="N496" s="23" t="n"/>
      <c r="O496" s="21" t="n"/>
    </row>
    <row r="497">
      <c r="A497" s="19">
        <f>IF($C497="","CHƯA NHẬP",IF($B497="","HỢP LỆ","LỖI"))</f>
        <v/>
      </c>
      <c r="B497" s="19">
        <f>IF($C497="","",TEXTJOIN(" | ",TRUE,IF(COUNTIF('01_HO_SO'!$C$6:$C$505,$C497)=0,"Mã chưa có ở Bước 1",""),IF(COUNTIF($C$6:$C$505,$C497)&gt;1,"Trùng mã trong thông tin công việc",""),IF($D497="","Thiếu trạng thái làm việc",""),IF($E497="","Thiếu ngày vào công ty",IF(OR(NOT(ISNUMBER($E497)),$E497&gt;TODAY()),"Ngày vào công ty không hợp lệ","")),IF($G497="","Thiếu phòng ban",""),IF($I497="","Thiếu chức danh",""),IF(AND($M497&lt;&gt;"",COUNTIF('01_HO_SO'!$C$6:$C$505,$M497)=0),"Mã quản lý không tồn tại",""),IF(AND($M497&lt;&gt;"",$M497=$C497),"Không thể tự quản lý chính mình",""),IF(OR($N497&lt;0,$N497&gt;1000000000),"Lương cơ bản ngoài phạm vi","")))</f>
        <v/>
      </c>
      <c r="C497" s="20" t="n"/>
      <c r="D497" s="21" t="n"/>
      <c r="E497" s="22" t="n"/>
      <c r="F497" s="21" t="n"/>
      <c r="G497" s="21" t="n"/>
      <c r="H497" s="21" t="n"/>
      <c r="I497" s="21" t="n"/>
      <c r="J497" s="19">
        <f>IF($I497="","",IFERROR(INDEX(DANH_MUC!$D$4:$D$1000,MATCH($I497,DANH_MUC!$C$4:$C$1000,0)),""))</f>
        <v/>
      </c>
      <c r="K497" s="21" t="n"/>
      <c r="L497" s="21" t="n"/>
      <c r="M497" s="20" t="n"/>
      <c r="N497" s="23" t="n"/>
      <c r="O497" s="21" t="n"/>
    </row>
    <row r="498">
      <c r="A498" s="19">
        <f>IF($C498="","CHƯA NHẬP",IF($B498="","HỢP LỆ","LỖI"))</f>
        <v/>
      </c>
      <c r="B498" s="19">
        <f>IF($C498="","",TEXTJOIN(" | ",TRUE,IF(COUNTIF('01_HO_SO'!$C$6:$C$505,$C498)=0,"Mã chưa có ở Bước 1",""),IF(COUNTIF($C$6:$C$505,$C498)&gt;1,"Trùng mã trong thông tin công việc",""),IF($D498="","Thiếu trạng thái làm việc",""),IF($E498="","Thiếu ngày vào công ty",IF(OR(NOT(ISNUMBER($E498)),$E498&gt;TODAY()),"Ngày vào công ty không hợp lệ","")),IF($G498="","Thiếu phòng ban",""),IF($I498="","Thiếu chức danh",""),IF(AND($M498&lt;&gt;"",COUNTIF('01_HO_SO'!$C$6:$C$505,$M498)=0),"Mã quản lý không tồn tại",""),IF(AND($M498&lt;&gt;"",$M498=$C498),"Không thể tự quản lý chính mình",""),IF(OR($N498&lt;0,$N498&gt;1000000000),"Lương cơ bản ngoài phạm vi","")))</f>
        <v/>
      </c>
      <c r="C498" s="20" t="n"/>
      <c r="D498" s="21" t="n"/>
      <c r="E498" s="22" t="n"/>
      <c r="F498" s="21" t="n"/>
      <c r="G498" s="21" t="n"/>
      <c r="H498" s="21" t="n"/>
      <c r="I498" s="21" t="n"/>
      <c r="J498" s="19">
        <f>IF($I498="","",IFERROR(INDEX(DANH_MUC!$D$4:$D$1000,MATCH($I498,DANH_MUC!$C$4:$C$1000,0)),""))</f>
        <v/>
      </c>
      <c r="K498" s="21" t="n"/>
      <c r="L498" s="21" t="n"/>
      <c r="M498" s="20" t="n"/>
      <c r="N498" s="23" t="n"/>
      <c r="O498" s="21" t="n"/>
    </row>
    <row r="499">
      <c r="A499" s="19">
        <f>IF($C499="","CHƯA NHẬP",IF($B499="","HỢP LỆ","LỖI"))</f>
        <v/>
      </c>
      <c r="B499" s="19">
        <f>IF($C499="","",TEXTJOIN(" | ",TRUE,IF(COUNTIF('01_HO_SO'!$C$6:$C$505,$C499)=0,"Mã chưa có ở Bước 1",""),IF(COUNTIF($C$6:$C$505,$C499)&gt;1,"Trùng mã trong thông tin công việc",""),IF($D499="","Thiếu trạng thái làm việc",""),IF($E499="","Thiếu ngày vào công ty",IF(OR(NOT(ISNUMBER($E499)),$E499&gt;TODAY()),"Ngày vào công ty không hợp lệ","")),IF($G499="","Thiếu phòng ban",""),IF($I499="","Thiếu chức danh",""),IF(AND($M499&lt;&gt;"",COUNTIF('01_HO_SO'!$C$6:$C$505,$M499)=0),"Mã quản lý không tồn tại",""),IF(AND($M499&lt;&gt;"",$M499=$C499),"Không thể tự quản lý chính mình",""),IF(OR($N499&lt;0,$N499&gt;1000000000),"Lương cơ bản ngoài phạm vi","")))</f>
        <v/>
      </c>
      <c r="C499" s="20" t="n"/>
      <c r="D499" s="21" t="n"/>
      <c r="E499" s="22" t="n"/>
      <c r="F499" s="21" t="n"/>
      <c r="G499" s="21" t="n"/>
      <c r="H499" s="21" t="n"/>
      <c r="I499" s="21" t="n"/>
      <c r="J499" s="19">
        <f>IF($I499="","",IFERROR(INDEX(DANH_MUC!$D$4:$D$1000,MATCH($I499,DANH_MUC!$C$4:$C$1000,0)),""))</f>
        <v/>
      </c>
      <c r="K499" s="21" t="n"/>
      <c r="L499" s="21" t="n"/>
      <c r="M499" s="20" t="n"/>
      <c r="N499" s="23" t="n"/>
      <c r="O499" s="21" t="n"/>
    </row>
    <row r="500">
      <c r="A500" s="19">
        <f>IF($C500="","CHƯA NHẬP",IF($B500="","HỢP LỆ","LỖI"))</f>
        <v/>
      </c>
      <c r="B500" s="19">
        <f>IF($C500="","",TEXTJOIN(" | ",TRUE,IF(COUNTIF('01_HO_SO'!$C$6:$C$505,$C500)=0,"Mã chưa có ở Bước 1",""),IF(COUNTIF($C$6:$C$505,$C500)&gt;1,"Trùng mã trong thông tin công việc",""),IF($D500="","Thiếu trạng thái làm việc",""),IF($E500="","Thiếu ngày vào công ty",IF(OR(NOT(ISNUMBER($E500)),$E500&gt;TODAY()),"Ngày vào công ty không hợp lệ","")),IF($G500="","Thiếu phòng ban",""),IF($I500="","Thiếu chức danh",""),IF(AND($M500&lt;&gt;"",COUNTIF('01_HO_SO'!$C$6:$C$505,$M500)=0),"Mã quản lý không tồn tại",""),IF(AND($M500&lt;&gt;"",$M500=$C500),"Không thể tự quản lý chính mình",""),IF(OR($N500&lt;0,$N500&gt;1000000000),"Lương cơ bản ngoài phạm vi","")))</f>
        <v/>
      </c>
      <c r="C500" s="20" t="n"/>
      <c r="D500" s="21" t="n"/>
      <c r="E500" s="22" t="n"/>
      <c r="F500" s="21" t="n"/>
      <c r="G500" s="21" t="n"/>
      <c r="H500" s="21" t="n"/>
      <c r="I500" s="21" t="n"/>
      <c r="J500" s="19">
        <f>IF($I500="","",IFERROR(INDEX(DANH_MUC!$D$4:$D$1000,MATCH($I500,DANH_MUC!$C$4:$C$1000,0)),""))</f>
        <v/>
      </c>
      <c r="K500" s="21" t="n"/>
      <c r="L500" s="21" t="n"/>
      <c r="M500" s="20" t="n"/>
      <c r="N500" s="23" t="n"/>
      <c r="O500" s="21" t="n"/>
    </row>
    <row r="501">
      <c r="A501" s="19">
        <f>IF($C501="","CHƯA NHẬP",IF($B501="","HỢP LỆ","LỖI"))</f>
        <v/>
      </c>
      <c r="B501" s="19">
        <f>IF($C501="","",TEXTJOIN(" | ",TRUE,IF(COUNTIF('01_HO_SO'!$C$6:$C$505,$C501)=0,"Mã chưa có ở Bước 1",""),IF(COUNTIF($C$6:$C$505,$C501)&gt;1,"Trùng mã trong thông tin công việc",""),IF($D501="","Thiếu trạng thái làm việc",""),IF($E501="","Thiếu ngày vào công ty",IF(OR(NOT(ISNUMBER($E501)),$E501&gt;TODAY()),"Ngày vào công ty không hợp lệ","")),IF($G501="","Thiếu phòng ban",""),IF($I501="","Thiếu chức danh",""),IF(AND($M501&lt;&gt;"",COUNTIF('01_HO_SO'!$C$6:$C$505,$M501)=0),"Mã quản lý không tồn tại",""),IF(AND($M501&lt;&gt;"",$M501=$C501),"Không thể tự quản lý chính mình",""),IF(OR($N501&lt;0,$N501&gt;1000000000),"Lương cơ bản ngoài phạm vi","")))</f>
        <v/>
      </c>
      <c r="C501" s="20" t="n"/>
      <c r="D501" s="21" t="n"/>
      <c r="E501" s="22" t="n"/>
      <c r="F501" s="21" t="n"/>
      <c r="G501" s="21" t="n"/>
      <c r="H501" s="21" t="n"/>
      <c r="I501" s="21" t="n"/>
      <c r="J501" s="19">
        <f>IF($I501="","",IFERROR(INDEX(DANH_MUC!$D$4:$D$1000,MATCH($I501,DANH_MUC!$C$4:$C$1000,0)),""))</f>
        <v/>
      </c>
      <c r="K501" s="21" t="n"/>
      <c r="L501" s="21" t="n"/>
      <c r="M501" s="20" t="n"/>
      <c r="N501" s="23" t="n"/>
      <c r="O501" s="21" t="n"/>
    </row>
    <row r="502">
      <c r="A502" s="19">
        <f>IF($C502="","CHƯA NHẬP",IF($B502="","HỢP LỆ","LỖI"))</f>
        <v/>
      </c>
      <c r="B502" s="19">
        <f>IF($C502="","",TEXTJOIN(" | ",TRUE,IF(COUNTIF('01_HO_SO'!$C$6:$C$505,$C502)=0,"Mã chưa có ở Bước 1",""),IF(COUNTIF($C$6:$C$505,$C502)&gt;1,"Trùng mã trong thông tin công việc",""),IF($D502="","Thiếu trạng thái làm việc",""),IF($E502="","Thiếu ngày vào công ty",IF(OR(NOT(ISNUMBER($E502)),$E502&gt;TODAY()),"Ngày vào công ty không hợp lệ","")),IF($G502="","Thiếu phòng ban",""),IF($I502="","Thiếu chức danh",""),IF(AND($M502&lt;&gt;"",COUNTIF('01_HO_SO'!$C$6:$C$505,$M502)=0),"Mã quản lý không tồn tại",""),IF(AND($M502&lt;&gt;"",$M502=$C502),"Không thể tự quản lý chính mình",""),IF(OR($N502&lt;0,$N502&gt;1000000000),"Lương cơ bản ngoài phạm vi","")))</f>
        <v/>
      </c>
      <c r="C502" s="20" t="n"/>
      <c r="D502" s="21" t="n"/>
      <c r="E502" s="22" t="n"/>
      <c r="F502" s="21" t="n"/>
      <c r="G502" s="21" t="n"/>
      <c r="H502" s="21" t="n"/>
      <c r="I502" s="21" t="n"/>
      <c r="J502" s="19">
        <f>IF($I502="","",IFERROR(INDEX(DANH_MUC!$D$4:$D$1000,MATCH($I502,DANH_MUC!$C$4:$C$1000,0)),""))</f>
        <v/>
      </c>
      <c r="K502" s="21" t="n"/>
      <c r="L502" s="21" t="n"/>
      <c r="M502" s="20" t="n"/>
      <c r="N502" s="23" t="n"/>
      <c r="O502" s="21" t="n"/>
    </row>
    <row r="503">
      <c r="A503" s="19">
        <f>IF($C503="","CHƯA NHẬP",IF($B503="","HỢP LỆ","LỖI"))</f>
        <v/>
      </c>
      <c r="B503" s="19">
        <f>IF($C503="","",TEXTJOIN(" | ",TRUE,IF(COUNTIF('01_HO_SO'!$C$6:$C$505,$C503)=0,"Mã chưa có ở Bước 1",""),IF(COUNTIF($C$6:$C$505,$C503)&gt;1,"Trùng mã trong thông tin công việc",""),IF($D503="","Thiếu trạng thái làm việc",""),IF($E503="","Thiếu ngày vào công ty",IF(OR(NOT(ISNUMBER($E503)),$E503&gt;TODAY()),"Ngày vào công ty không hợp lệ","")),IF($G503="","Thiếu phòng ban",""),IF($I503="","Thiếu chức danh",""),IF(AND($M503&lt;&gt;"",COUNTIF('01_HO_SO'!$C$6:$C$505,$M503)=0),"Mã quản lý không tồn tại",""),IF(AND($M503&lt;&gt;"",$M503=$C503),"Không thể tự quản lý chính mình",""),IF(OR($N503&lt;0,$N503&gt;1000000000),"Lương cơ bản ngoài phạm vi","")))</f>
        <v/>
      </c>
      <c r="C503" s="20" t="n"/>
      <c r="D503" s="21" t="n"/>
      <c r="E503" s="22" t="n"/>
      <c r="F503" s="21" t="n"/>
      <c r="G503" s="21" t="n"/>
      <c r="H503" s="21" t="n"/>
      <c r="I503" s="21" t="n"/>
      <c r="J503" s="19">
        <f>IF($I503="","",IFERROR(INDEX(DANH_MUC!$D$4:$D$1000,MATCH($I503,DANH_MUC!$C$4:$C$1000,0)),""))</f>
        <v/>
      </c>
      <c r="K503" s="21" t="n"/>
      <c r="L503" s="21" t="n"/>
      <c r="M503" s="20" t="n"/>
      <c r="N503" s="23" t="n"/>
      <c r="O503" s="21" t="n"/>
    </row>
    <row r="504">
      <c r="A504" s="19">
        <f>IF($C504="","CHƯA NHẬP",IF($B504="","HỢP LỆ","LỖI"))</f>
        <v/>
      </c>
      <c r="B504" s="19">
        <f>IF($C504="","",TEXTJOIN(" | ",TRUE,IF(COUNTIF('01_HO_SO'!$C$6:$C$505,$C504)=0,"Mã chưa có ở Bước 1",""),IF(COUNTIF($C$6:$C$505,$C504)&gt;1,"Trùng mã trong thông tin công việc",""),IF($D504="","Thiếu trạng thái làm việc",""),IF($E504="","Thiếu ngày vào công ty",IF(OR(NOT(ISNUMBER($E504)),$E504&gt;TODAY()),"Ngày vào công ty không hợp lệ","")),IF($G504="","Thiếu phòng ban",""),IF($I504="","Thiếu chức danh",""),IF(AND($M504&lt;&gt;"",COUNTIF('01_HO_SO'!$C$6:$C$505,$M504)=0),"Mã quản lý không tồn tại",""),IF(AND($M504&lt;&gt;"",$M504=$C504),"Không thể tự quản lý chính mình",""),IF(OR($N504&lt;0,$N504&gt;1000000000),"Lương cơ bản ngoài phạm vi","")))</f>
        <v/>
      </c>
      <c r="C504" s="20" t="n"/>
      <c r="D504" s="21" t="n"/>
      <c r="E504" s="22" t="n"/>
      <c r="F504" s="21" t="n"/>
      <c r="G504" s="21" t="n"/>
      <c r="H504" s="21" t="n"/>
      <c r="I504" s="21" t="n"/>
      <c r="J504" s="19">
        <f>IF($I504="","",IFERROR(INDEX(DANH_MUC!$D$4:$D$1000,MATCH($I504,DANH_MUC!$C$4:$C$1000,0)),""))</f>
        <v/>
      </c>
      <c r="K504" s="21" t="n"/>
      <c r="L504" s="21" t="n"/>
      <c r="M504" s="20" t="n"/>
      <c r="N504" s="23" t="n"/>
      <c r="O504" s="21" t="n"/>
    </row>
    <row r="505">
      <c r="A505" s="19">
        <f>IF($C505="","CHƯA NHẬP",IF($B505="","HỢP LỆ","LỖI"))</f>
        <v/>
      </c>
      <c r="B505" s="19">
        <f>IF($C505="","",TEXTJOIN(" | ",TRUE,IF(COUNTIF('01_HO_SO'!$C$6:$C$505,$C505)=0,"Mã chưa có ở Bước 1",""),IF(COUNTIF($C$6:$C$505,$C505)&gt;1,"Trùng mã trong thông tin công việc",""),IF($D505="","Thiếu trạng thái làm việc",""),IF($E505="","Thiếu ngày vào công ty",IF(OR(NOT(ISNUMBER($E505)),$E505&gt;TODAY()),"Ngày vào công ty không hợp lệ","")),IF($G505="","Thiếu phòng ban",""),IF($I505="","Thiếu chức danh",""),IF(AND($M505&lt;&gt;"",COUNTIF('01_HO_SO'!$C$6:$C$505,$M505)=0),"Mã quản lý không tồn tại",""),IF(AND($M505&lt;&gt;"",$M505=$C505),"Không thể tự quản lý chính mình",""),IF(OR($N505&lt;0,$N505&gt;1000000000),"Lương cơ bản ngoài phạm vi","")))</f>
        <v/>
      </c>
      <c r="C505" s="20" t="n"/>
      <c r="D505" s="21" t="n"/>
      <c r="E505" s="22" t="n"/>
      <c r="F505" s="21" t="n"/>
      <c r="G505" s="21" t="n"/>
      <c r="H505" s="21" t="n"/>
      <c r="I505" s="21" t="n"/>
      <c r="J505" s="19">
        <f>IF($I505="","",IFERROR(INDEX(DANH_MUC!$D$4:$D$1000,MATCH($I505,DANH_MUC!$C$4:$C$1000,0)),""))</f>
        <v/>
      </c>
      <c r="K505" s="21" t="n"/>
      <c r="L505" s="21" t="n"/>
      <c r="M505" s="20" t="n"/>
      <c r="N505" s="23" t="n"/>
      <c r="O505" s="21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B094"/>
  <autoFilter ref="A5:O505"/>
  <mergeCells count="2">
    <mergeCell ref="A2:Q2"/>
    <mergeCell ref="A1:Q1"/>
  </mergeCells>
  <conditionalFormatting sqref="A6:O505">
    <cfRule type="expression" priority="1" dxfId="0">
      <formula>$A6="LỖI"</formula>
    </cfRule>
    <cfRule type="expression" priority="2" dxfId="1">
      <formula>$A6="HỢP LỆ"</formula>
    </cfRule>
  </conditionalFormatting>
  <dataValidations count="11">
    <dataValidation sqref="D6:D505" showDropDown="0" showInputMessage="1" showErrorMessage="1" allowBlank="1" errorTitle="Giá trị không hợp lệ" error="Hãy chọn một giá trị trong danh sách." promptTitle="Chọn từ danh mục" prompt="Chọn trạng thái làm việc." type="list" errorStyle="stop">
      <formula1>=dm_employment_status</formula1>
    </dataValidation>
    <dataValidation sqref="F6:F505" showDropDown="0" showInputMessage="1" showErrorMessage="1" allowBlank="1" errorTitle="Giá trị không hợp lệ" error="Hãy chọn một giá trị trong danh sách." promptTitle="Chọn từ danh mục" prompt="Chọn chi nhánh/văn phòng." type="list" errorStyle="stop">
      <formula1>=dm_branch</formula1>
    </dataValidation>
    <dataValidation sqref="G6:G505" showDropDown="0" showInputMessage="1" showErrorMessage="1" allowBlank="1" errorTitle="Giá trị không hợp lệ" error="Hãy chọn một giá trị trong danh sách." promptTitle="Chọn từ danh mục" prompt="Chọn phòng ban." type="list" errorStyle="stop">
      <formula1>=dm_department</formula1>
    </dataValidation>
    <dataValidation sqref="H6:H505" showDropDown="0" showInputMessage="1" showErrorMessage="1" allowBlank="1" errorTitle="Giá trị không hợp lệ" error="Hãy chọn một giá trị trong danh sách." promptTitle="Chọn từ danh mục" prompt="Chọn bộ phận/nhóm." type="list" errorStyle="stop">
      <formula1>=dm_team</formula1>
    </dataValidation>
    <dataValidation sqref="I6:I505" showDropDown="0" showInputMessage="1" showErrorMessage="1" allowBlank="1" errorTitle="Giá trị không hợp lệ" error="Hãy chọn một giá trị trong danh sách." promptTitle="Chọn từ danh mục" prompt="Chọn chức danh tiếng Việt; tên tiếng Anh được điền tự động." type="list" errorStyle="stop">
      <formula1>=dm_job_vi</formula1>
    </dataValidation>
    <dataValidation sqref="K6:K505" showDropDown="0" showInputMessage="1" showErrorMessage="1" allowBlank="1" errorTitle="Giá trị không hợp lệ" error="Hãy chọn một giá trị trong danh sách." promptTitle="Chọn từ danh mục" prompt="Chọn ngạch." type="list" errorStyle="stop">
      <formula1>=dm_grade</formula1>
    </dataValidation>
    <dataValidation sqref="L6:L505" showDropDown="0" showInputMessage="1" showErrorMessage="1" allowBlank="1" errorTitle="Giá trị không hợp lệ" error="Hãy chọn một giá trị trong danh sách." promptTitle="Chọn từ danh mục" prompt="Chọn cấp bậc." type="list" errorStyle="stop">
      <formula1>=dm_level</formula1>
    </dataValidation>
    <dataValidation sqref="C6:C505" showDropDown="0" showInputMessage="1" showErrorMessage="1" allowBlank="1" errorTitle="Mã nhân viên chưa tồn tại" error="Hãy nhập nhân viên tại Bước 1 trước." promptTitle="Quy tắc nhập" prompt="Mã phải trùng chính xác với Bước 1." type="custom" errorStyle="stop">
      <formula1>=OR(C6="",COUNTIF('01_HO_SO'!$C$6:$C$505,C6)=1)</formula1>
    </dataValidation>
    <dataValidation sqref="E6:E505" showDropDown="0" showInputMessage="1" showErrorMessage="1" allowBlank="1" errorTitle="Ngày vào công ty không hợp lệ" error="Ngày vào công ty không được ở tương lai." promptTitle="Quy tắc nhập" prompt="Dùng định dạng dd/mm/yyyy." type="custom" errorStyle="stop">
      <formula1>=OR(E6="",AND(ISNUMBER(E6),E6&lt;=TODAY()))</formula1>
    </dataValidation>
    <dataValidation sqref="M6:M505" showDropDown="0" showInputMessage="1" showErrorMessage="1" allowBlank="1" errorTitle="Mã quản lý không hợp lệ" error="Quản lý phải có ở Bước 1 và không được trùng chính nhân viên." promptTitle="Quy tắc nhập" prompt="Để trống nếu chưa xác định." type="custom" errorStyle="stop">
      <formula1>=OR(M6="",AND(M6&lt;&gt;C6,COUNTIF('01_HO_SO'!$C$6:$C$505,M6)=1))</formula1>
    </dataValidation>
    <dataValidation sqref="N6:N505" showDropDown="0" showInputMessage="0" showErrorMessage="1" allowBlank="1" errorTitle="Lương không hợp lệ" error="Lương phải từ 0 đến 1.000.000.000." type="decimal" errorStyle="stop" operator="between">
      <formula1>0</formula1>
      <formula2>1000000000</formula2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4" customWidth="1" min="5" max="5"/>
    <col width="28" customWidth="1" min="6" max="6"/>
    <col width="18" customWidth="1" min="7" max="7"/>
    <col width="18" customWidth="1" min="8" max="8"/>
  </cols>
  <sheetData>
    <row r="1" ht="34" customHeight="1">
      <c r="A1" s="16" t="inlineStr">
        <is>
          <t>BƯỚC 3 · KIỂM TRA CHẤT LƯỢNG</t>
        </is>
      </c>
    </row>
    <row r="2" ht="24" customHeight="1">
      <c r="A2" s="17" t="inlineStr">
        <is>
          <t>Chỉ xuất/đưa lên SharePoint khi toàn bộ dữ liệu đang nhập hiển thị hợp lệ.</t>
        </is>
      </c>
    </row>
    <row r="5">
      <c r="B5" s="24" t="inlineStr">
        <is>
          <t>Chỉ số</t>
        </is>
      </c>
      <c r="C5" s="24" t="inlineStr">
        <is>
          <t>Hồ sơ</t>
        </is>
      </c>
      <c r="D5" s="24" t="inlineStr">
        <is>
          <t>Công việc</t>
        </is>
      </c>
    </row>
    <row r="6">
      <c r="B6" s="25" t="inlineStr">
        <is>
          <t>Tổng dòng đã nhập</t>
        </is>
      </c>
      <c r="C6" s="26">
        <f>COUNTIF('01_HO_SO'!$C$6:$C$505,"&lt;&gt;")</f>
        <v/>
      </c>
      <c r="D6" s="26">
        <f>COUNTIF('02_CONG_VIEC'!$C$6:$C$505,"&lt;&gt;")</f>
        <v/>
      </c>
    </row>
    <row r="7">
      <c r="B7" s="25" t="inlineStr">
        <is>
          <t>Dòng hợp lệ</t>
        </is>
      </c>
      <c r="C7" s="26">
        <f>COUNTIF('01_HO_SO'!$A$6:$A$505,"HỢP LỆ")</f>
        <v/>
      </c>
      <c r="D7" s="26">
        <f>COUNTIF('02_CONG_VIEC'!$A$6:$A$505,"HỢP LỆ")</f>
        <v/>
      </c>
    </row>
    <row r="8">
      <c r="B8" s="25" t="inlineStr">
        <is>
          <t>Dòng có lỗi</t>
        </is>
      </c>
      <c r="C8" s="26">
        <f>COUNTIF('01_HO_SO'!$A$6:$A$505,"LỖI")</f>
        <v/>
      </c>
      <c r="D8" s="26">
        <f>COUNTIF('02_CONG_VIEC'!$A$6:$A$505,"LỖI")</f>
        <v/>
      </c>
    </row>
    <row r="9">
      <c r="B9" s="25" t="inlineStr">
        <is>
          <t>Mã trùng</t>
        </is>
      </c>
      <c r="C9" s="26">
        <f>COUNTIF('01_HO_SO'!$B$6:$B$505,"*Trùng mã*")</f>
        <v/>
      </c>
      <c r="D9" s="26">
        <f>COUNTIF('02_CONG_VIEC'!$B$6:$B$505,"*Trùng mã*")</f>
        <v/>
      </c>
    </row>
    <row r="10">
      <c r="B10" s="25" t="inlineStr">
        <is>
          <t>Thiếu trường bắt buộc</t>
        </is>
      </c>
      <c r="C10" s="26">
        <f>COUNTIF('01_HO_SO'!$B$6:$B$505,"*Thiếu*")</f>
        <v/>
      </c>
      <c r="D10" s="26">
        <f>COUNTIF('02_CONG_VIEC'!$B$6:$B$505,"*Thiếu*")</f>
        <v/>
      </c>
    </row>
    <row r="13">
      <c r="B13" s="27">
        <f>IF(AND(C8=0,D8=0,C6&gt;0,C6=D6),"SẴN SÀNG ĐƯA LÊN SHAREPOINT","CHƯA SẴN SÀNG · HÃY SỬA LỖI")</f>
        <v/>
      </c>
    </row>
    <row r="14"/>
    <row r="16">
      <c r="B16" s="28" t="inlineStr">
        <is>
          <t>Tiêu chí sẵn sàng: có ít nhất 1 hồ sơ, số hồ sơ bằng số dòng công việc, và cả hai bước không còn dòng LỖI. Bộ kiểm tra trên HR App vẫn chạy lại trước khi ghi dữ liệu.</t>
        </is>
      </c>
    </row>
    <row r="17"/>
    <row r="18"/>
    <row r="20">
      <c r="B20" s="6" t="inlineStr">
        <is>
          <t>Quay lại Bước 1</t>
        </is>
      </c>
      <c r="C20" s="6" t="inlineStr">
        <is>
          <t>Quay lại Bước 2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B094"/>
  <mergeCells count="4">
    <mergeCell ref="A2:Q2"/>
    <mergeCell ref="B16:D18"/>
    <mergeCell ref="A1:Q1"/>
    <mergeCell ref="B13:D14"/>
  </mergeCells>
  <conditionalFormatting sqref="B13:D14">
    <cfRule type="expression" priority="1" dxfId="2">
      <formula>LEFT($B$13,8)="SẴN SÀNG"</formula>
    </cfRule>
    <cfRule type="expression" priority="2" dxfId="3">
      <formula>LEFT($B$13,4)="CHƯA"</formula>
    </cfRule>
  </conditionalFormatting>
  <hyperlinks>
    <hyperlink xmlns:r="http://schemas.openxmlformats.org/officeDocument/2006/relationships" ref="B20" r:id="rId1"/>
    <hyperlink xmlns:r="http://schemas.openxmlformats.org/officeDocument/2006/relationships" ref="C20" r:id="rId2"/>
  </hyperlinks>
  <pageMargins left="0.75" right="0.75" top="1" bottom="1" header="0.5" footer="0.5"/>
  <drawing xmlns:r="http://schemas.openxmlformats.org/officeDocument/2006/relationships" r:id="rId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8" customWidth="1" min="4" max="4"/>
    <col width="28" customWidth="1" min="5" max="5"/>
    <col width="28" customWidth="1" min="6" max="6"/>
    <col width="20" customWidth="1" min="7" max="7"/>
    <col width="20" customWidth="1" min="8" max="8"/>
    <col width="20" customWidth="1" min="9" max="9"/>
  </cols>
  <sheetData>
    <row r="1">
      <c r="A1" s="29" t="inlineStr">
        <is>
          <t>DANH MỤC CẤU HÌNH</t>
        </is>
      </c>
    </row>
    <row r="2">
      <c r="A2" s="30" t="inlineStr">
        <is>
          <t>Người quản trị có thể bổ sung giá trị ở cuối từng cột. Không sắp xếp riêng cột Chức danh VI/EN vì đây là một cặp mapping.</t>
        </is>
      </c>
    </row>
    <row r="3">
      <c r="A3" s="31" t="inlineStr">
        <is>
          <t>Trạng thái làm việc</t>
        </is>
      </c>
      <c r="B3" s="31" t="inlineStr">
        <is>
          <t>Giới tính</t>
        </is>
      </c>
      <c r="C3" s="31" t="inlineStr">
        <is>
          <t>Chức danh (VI)</t>
        </is>
      </c>
      <c r="D3" s="31" t="inlineStr">
        <is>
          <t>Position (EN)</t>
        </is>
      </c>
      <c r="E3" s="31" t="inlineStr">
        <is>
          <t>Phòng ban</t>
        </is>
      </c>
      <c r="F3" s="31" t="inlineStr">
        <is>
          <t>Bộ phận</t>
        </is>
      </c>
      <c r="G3" s="31" t="inlineStr">
        <is>
          <t>Chi nhánh</t>
        </is>
      </c>
      <c r="H3" s="31" t="inlineStr">
        <is>
          <t>Ngạch</t>
        </is>
      </c>
      <c r="I3" s="31" t="inlineStr">
        <is>
          <t>Cấp bậc</t>
        </is>
      </c>
    </row>
    <row r="4">
      <c r="A4" s="32" t="inlineStr">
        <is>
          <t>Đang làm việc</t>
        </is>
      </c>
      <c r="B4" s="32" t="inlineStr">
        <is>
          <t>Nam</t>
        </is>
      </c>
      <c r="C4" s="32" t="inlineStr">
        <is>
          <t>Tổng giám đốc</t>
        </is>
      </c>
      <c r="D4" s="32" t="inlineStr">
        <is>
          <t>Chief Executive Officer (CEO)</t>
        </is>
      </c>
      <c r="E4" s="32" t="inlineStr">
        <is>
          <t>Hanoi Warehouse</t>
        </is>
      </c>
      <c r="F4" s="32" t="inlineStr">
        <is>
          <t>Chuyên viên cấp cao? Expert?</t>
        </is>
      </c>
      <c r="G4" s="32" t="inlineStr">
        <is>
          <t>1</t>
        </is>
      </c>
      <c r="H4" s="32" t="inlineStr">
        <is>
          <t>Warehouse Administrator</t>
        </is>
      </c>
      <c r="I4" s="32" t="inlineStr">
        <is>
          <t>Lãnh đạo</t>
        </is>
      </c>
    </row>
    <row r="5">
      <c r="A5" s="32" t="inlineStr">
        <is>
          <t>Thử việc</t>
        </is>
      </c>
      <c r="B5" s="32" t="inlineStr">
        <is>
          <t>Nữ</t>
        </is>
      </c>
      <c r="C5" s="32" t="inlineStr">
        <is>
          <t>Chủ tịch HĐQT</t>
        </is>
      </c>
      <c r="D5" s="32" t="inlineStr">
        <is>
          <t>Chairman of the Board</t>
        </is>
      </c>
      <c r="E5" s="32" t="inlineStr">
        <is>
          <t>Offline Retail</t>
        </is>
      </c>
      <c r="F5" s="32" t="inlineStr">
        <is>
          <t>Senior Manager</t>
        </is>
      </c>
      <c r="G5" s="32" t="inlineStr">
        <is>
          <t>2.1</t>
        </is>
      </c>
      <c r="H5" s="32" t="inlineStr">
        <is>
          <t>Retail Area Sales Manager</t>
        </is>
      </c>
      <c r="I5" s="32" t="inlineStr">
        <is>
          <t>??</t>
        </is>
      </c>
    </row>
    <row r="6">
      <c r="A6" s="32" t="inlineStr">
        <is>
          <t>Tạm nghỉ</t>
        </is>
      </c>
      <c r="B6" s="32" t="inlineStr">
        <is>
          <t>Khác</t>
        </is>
      </c>
      <c r="C6" s="32" t="inlineStr">
        <is>
          <t>Phó giám đốc</t>
        </is>
      </c>
      <c r="D6" s="32" t="inlineStr">
        <is>
          <t>Deputy Director</t>
        </is>
      </c>
      <c r="E6" s="32" t="inlineStr">
        <is>
          <t>Executive Management</t>
        </is>
      </c>
      <c r="F6" s="32" t="inlineStr">
        <is>
          <t>Chuyên gia (làm việc độc lập)</t>
        </is>
      </c>
      <c r="G6" s="32" t="inlineStr">
        <is>
          <t>8</t>
        </is>
      </c>
      <c r="H6" s="32" t="inlineStr">
        <is>
          <t>Chairman of the Board</t>
        </is>
      </c>
    </row>
    <row r="7">
      <c r="A7" s="32" t="inlineStr">
        <is>
          <t>Đã nghỉ việc</t>
        </is>
      </c>
      <c r="B7" s="32" t="inlineStr">
        <is>
          <t>Không công bố</t>
        </is>
      </c>
      <c r="C7" s="32" t="inlineStr">
        <is>
          <t>TNH bóng bàn</t>
        </is>
      </c>
      <c r="D7" s="32" t="inlineStr">
        <is>
          <t>Category Manager – Table Tennis</t>
        </is>
      </c>
      <c r="E7" s="32" t="inlineStr">
        <is>
          <t>Human Resources</t>
        </is>
      </c>
      <c r="F7" s="32" t="inlineStr">
        <is>
          <t>hay 5.1???</t>
        </is>
      </c>
      <c r="G7" s="32" t="inlineStr">
        <is>
          <t>2.2</t>
        </is>
      </c>
      <c r="H7" s="32" t="inlineStr">
        <is>
          <t>Learning &amp; Development Specialist</t>
        </is>
      </c>
    </row>
    <row r="8">
      <c r="C8" s="32" t="inlineStr">
        <is>
          <t>TNH bóng chuyền</t>
        </is>
      </c>
      <c r="D8" s="32" t="inlineStr">
        <is>
          <t>Category Manager – Volleyball</t>
        </is>
      </c>
      <c r="E8" s="32" t="inlineStr">
        <is>
          <t>E-commerce</t>
        </is>
      </c>
      <c r="F8" s="32" t="inlineStr">
        <is>
          <t>Chuyên viên II</t>
        </is>
      </c>
      <c r="G8" s="32" t="inlineStr">
        <is>
          <t>5.1</t>
        </is>
      </c>
      <c r="H8" s="32" t="inlineStr">
        <is>
          <t>Omnichannel Coordinator</t>
        </is>
      </c>
    </row>
    <row r="9">
      <c r="C9" s="32" t="inlineStr">
        <is>
          <t>Chuyên viên XNK</t>
        </is>
      </c>
      <c r="D9" s="32" t="inlineStr">
        <is>
          <t>Import-Export Specialist</t>
        </is>
      </c>
      <c r="E9" s="32" t="inlineStr">
        <is>
          <t>IT</t>
        </is>
      </c>
      <c r="F9" s="32" t="inlineStr">
        <is>
          <t>Senior Team Lead</t>
        </is>
      </c>
      <c r="G9" s="32" t="inlineStr">
        <is>
          <t>5</t>
        </is>
      </c>
      <c r="H9" s="32" t="inlineStr">
        <is>
          <t>Business Intelligence Analyst</t>
        </is>
      </c>
    </row>
    <row r="10">
      <c r="C10" s="32" t="inlineStr">
        <is>
          <t>Trưởng phòng TCKT</t>
        </is>
      </c>
      <c r="D10" s="32" t="inlineStr">
        <is>
          <t>Head of Finance &amp; Accounting</t>
        </is>
      </c>
      <c r="E10" s="32" t="inlineStr">
        <is>
          <t>Procurement</t>
        </is>
      </c>
      <c r="F10" s="32" t="inlineStr">
        <is>
          <t>Sai cấp bậc</t>
        </is>
      </c>
      <c r="G10" s="32" t="inlineStr">
        <is>
          <t>3.1</t>
        </is>
      </c>
      <c r="H10" s="32" t="inlineStr">
        <is>
          <t>Sales Operations Specialist</t>
        </is>
      </c>
    </row>
    <row r="11">
      <c r="C11" s="32" t="inlineStr">
        <is>
          <t>Nhân viên kế toán</t>
        </is>
      </c>
      <c r="D11" s="32" t="inlineStr">
        <is>
          <t>Accountant</t>
        </is>
      </c>
      <c r="E11" s="32" t="inlineStr">
        <is>
          <t>Content</t>
        </is>
      </c>
      <c r="F11" s="32" t="inlineStr">
        <is>
          <t>Hay 5.2?? Quản trị 2 Phòng ban / Khối</t>
        </is>
      </c>
      <c r="G11" s="32" t="inlineStr">
        <is>
          <t>5.2</t>
        </is>
      </c>
      <c r="H11" s="32" t="inlineStr">
        <is>
          <t>Affiliate Growth Specialist</t>
        </is>
      </c>
    </row>
    <row r="12">
      <c r="C12" s="32" t="inlineStr">
        <is>
          <t>Kế toán tổng hợp</t>
        </is>
      </c>
      <c r="D12" s="32" t="inlineStr">
        <is>
          <t>General Accountant</t>
        </is>
      </c>
      <c r="E12" s="32" t="inlineStr">
        <is>
          <t>Media Production</t>
        </is>
      </c>
      <c r="F12" s="32" t="inlineStr">
        <is>
          <t>Hay là 4.1?</t>
        </is>
      </c>
      <c r="G12" s="32" t="inlineStr">
        <is>
          <t>4</t>
        </is>
      </c>
      <c r="H12" s="32" t="inlineStr">
        <is>
          <t>Customer Growth &amp; Experience Specialist</t>
        </is>
      </c>
    </row>
    <row r="13">
      <c r="C13" s="32" t="inlineStr">
        <is>
          <t>Kế toán thuế</t>
        </is>
      </c>
      <c r="D13" s="32" t="inlineStr">
        <is>
          <t>Tax Accountant</t>
        </is>
      </c>
      <c r="E13" s="32" t="inlineStr">
        <is>
          <t>Customer Service</t>
        </is>
      </c>
      <c r="F13" s="32" t="inlineStr">
        <is>
          <t>Dưới 3.2 - Thương</t>
        </is>
      </c>
      <c r="G13" s="32" t="inlineStr">
        <is>
          <t>7.2</t>
        </is>
      </c>
      <c r="H13" s="32" t="inlineStr">
        <is>
          <t>E-commerce Marketplace Growth &amp; Operations Specialist</t>
        </is>
      </c>
    </row>
    <row r="14">
      <c r="C14" s="32" t="inlineStr">
        <is>
          <t>Mua hàng quốc tế</t>
        </is>
      </c>
      <c r="D14" s="32" t="inlineStr">
        <is>
          <t>International Purchasing</t>
        </is>
      </c>
      <c r="E14" s="32" t="inlineStr">
        <is>
          <t>Miếu Đầm Store</t>
        </is>
      </c>
      <c r="F14" s="32" t="inlineStr">
        <is>
          <t>3.1 ?  Bằng Ngô Bình Phương hay bằng Thương (ko quản lý nhân viên trực tiếp --&gt; Chuyên viên cấp cao II)</t>
        </is>
      </c>
      <c r="G14" s="32" t="inlineStr">
        <is>
          <t>HCM</t>
        </is>
      </c>
      <c r="H14" s="32" t="inlineStr">
        <is>
          <t>Import–Export Specialist</t>
        </is>
      </c>
    </row>
    <row r="15">
      <c r="C15" s="32" t="inlineStr">
        <is>
          <t>Nhân viên mua hàng</t>
        </is>
      </c>
      <c r="D15" s="32" t="inlineStr">
        <is>
          <t>Purchasing Executive</t>
        </is>
      </c>
      <c r="E15" s="32" t="inlineStr">
        <is>
          <t>Ho Chi Minh City Warehouse</t>
        </is>
      </c>
      <c r="F15" s="32" t="inlineStr">
        <is>
          <t>Hay là 2.2 ??? = Loan và Duyên</t>
        </is>
      </c>
      <c r="G15" s="32" t="inlineStr">
        <is>
          <t>HN</t>
        </is>
      </c>
      <c r="H15" s="32" t="inlineStr">
        <is>
          <t>Content Specialist</t>
        </is>
      </c>
    </row>
    <row r="16">
      <c r="C16" s="32" t="inlineStr">
        <is>
          <t>Nhân viên PR, sự kiện</t>
        </is>
      </c>
      <c r="D16" s="32" t="inlineStr">
        <is>
          <t>PR &amp; Events Executive</t>
        </is>
      </c>
      <c r="E16" s="32" t="inlineStr">
        <is>
          <t>Product Development</t>
        </is>
      </c>
      <c r="F16" s="32" t="inlineStr">
        <is>
          <t>hay là 3.1??</t>
        </is>
      </c>
      <c r="H16" s="32" t="inlineStr">
        <is>
          <t>Content Creator</t>
        </is>
      </c>
    </row>
    <row r="17">
      <c r="C17" s="32" t="inlineStr">
        <is>
          <t>Nhân viên thiết kế</t>
        </is>
      </c>
      <c r="D17" s="32" t="inlineStr">
        <is>
          <t>Designer</t>
        </is>
      </c>
      <c r="E17" s="32" t="inlineStr">
        <is>
          <t>Sales</t>
        </is>
      </c>
      <c r="F17" s="32" t="inlineStr">
        <is>
          <t>hay là 3.2??? Trưởng nhóm cấp cao</t>
        </is>
      </c>
      <c r="H17" s="32" t="inlineStr">
        <is>
          <t>E-commerce Content Creator</t>
        </is>
      </c>
    </row>
    <row r="18">
      <c r="C18" s="32" t="inlineStr">
        <is>
          <t>Nhân viên Graphic Design</t>
        </is>
      </c>
      <c r="D18" s="32" t="inlineStr">
        <is>
          <t>Graphic Designer</t>
        </is>
      </c>
      <c r="E18" s="32" t="inlineStr">
        <is>
          <t>Administration</t>
        </is>
      </c>
      <c r="F18" s="32" t="inlineStr">
        <is>
          <t>Hay là 4.1 hay 5.1 ở level Chuyên gia</t>
        </is>
      </c>
      <c r="H18" s="32" t="inlineStr">
        <is>
          <t>Creative Lead</t>
        </is>
      </c>
    </row>
    <row r="19">
      <c r="C19" s="32" t="inlineStr">
        <is>
          <t>Nhân viên PR (Tài trợ và sự kiện)</t>
        </is>
      </c>
      <c r="D19" s="32" t="inlineStr">
        <is>
          <t>PR Executive (Sponsorship &amp; Events)</t>
        </is>
      </c>
      <c r="E19" s="32" t="inlineStr">
        <is>
          <t>Category Management</t>
        </is>
      </c>
      <c r="H19" s="32" t="inlineStr">
        <is>
          <t>Customer Service Specialist</t>
        </is>
      </c>
    </row>
    <row r="20">
      <c r="C20" s="32" t="inlineStr">
        <is>
          <t>Trưởng bộ phận cung ứng</t>
        </is>
      </c>
      <c r="D20" s="32" t="inlineStr">
        <is>
          <t>Head of Supply Chain / Procurement</t>
        </is>
      </c>
      <c r="E20" s="32" t="inlineStr">
        <is>
          <t>Accounting</t>
        </is>
      </c>
      <c r="H20" s="32" t="inlineStr">
        <is>
          <t>Store Manager</t>
        </is>
      </c>
    </row>
    <row r="21">
      <c r="C21" s="32" t="inlineStr">
        <is>
          <t>Trưởng bộ phận kho</t>
        </is>
      </c>
      <c r="D21" s="32" t="inlineStr">
        <is>
          <t>Head of Warehouse</t>
        </is>
      </c>
      <c r="E21" s="32" t="inlineStr">
        <is>
          <t>Quality Control</t>
        </is>
      </c>
      <c r="H21" s="32" t="inlineStr">
        <is>
          <t>Warehouse Coordinator</t>
        </is>
      </c>
    </row>
    <row r="22">
      <c r="C22" s="32" t="inlineStr">
        <is>
          <t>Admin kho</t>
        </is>
      </c>
      <c r="D22" s="32" t="inlineStr">
        <is>
          <t>Warehouse Admin</t>
        </is>
      </c>
      <c r="E22" s="32" t="inlineStr">
        <is>
          <t>International Market Development</t>
        </is>
      </c>
      <c r="H22" s="32" t="inlineStr">
        <is>
          <t>Digital Performance Executive</t>
        </is>
      </c>
    </row>
    <row r="23">
      <c r="C23" s="32" t="inlineStr">
        <is>
          <t>Lái xe</t>
        </is>
      </c>
      <c r="D23" s="32" t="inlineStr">
        <is>
          <t>Driver</t>
        </is>
      </c>
      <c r="E23" s="32" t="inlineStr">
        <is>
          <t>District 1 Store</t>
        </is>
      </c>
      <c r="H23" s="32" t="inlineStr">
        <is>
          <t>Footwear Product Development Manager</t>
        </is>
      </c>
    </row>
    <row r="24">
      <c r="C24" s="32" t="inlineStr">
        <is>
          <t>Nhân viên kho</t>
        </is>
      </c>
      <c r="D24" s="32" t="inlineStr">
        <is>
          <t>Warehouse Staff</t>
        </is>
      </c>
      <c r="E24" s="32" t="inlineStr">
        <is>
          <t>District 2 Store</t>
        </is>
      </c>
      <c r="H24" s="32" t="inlineStr">
        <is>
          <t>B2B Sales Director</t>
        </is>
      </c>
    </row>
    <row r="25">
      <c r="C25" s="32" t="inlineStr">
        <is>
          <t>Nhân viên in ép</t>
        </is>
      </c>
      <c r="D25" s="32" t="inlineStr">
        <is>
          <t>Heat Press / Printing Operator</t>
        </is>
      </c>
      <c r="E25" s="32" t="inlineStr">
        <is>
          <t>Graphic Design</t>
        </is>
      </c>
      <c r="H25" s="32" t="inlineStr">
        <is>
          <t>Creative Director</t>
        </is>
      </c>
    </row>
    <row r="26">
      <c r="C26" s="32" t="inlineStr">
        <is>
          <t>Nhân viên mua hàng kiêm admin</t>
        </is>
      </c>
      <c r="D26" s="32" t="inlineStr">
        <is>
          <t>Purchasing &amp; Admin Executive</t>
        </is>
      </c>
      <c r="E26" s="32" t="inlineStr">
        <is>
          <t>Apparel Projects</t>
        </is>
      </c>
      <c r="H26" s="32" t="inlineStr">
        <is>
          <t>General Administration Associate</t>
        </is>
      </c>
    </row>
    <row r="27">
      <c r="C27" s="32" t="inlineStr">
        <is>
          <t>Nhân viên QC</t>
        </is>
      </c>
      <c r="D27" s="32" t="inlineStr">
        <is>
          <t>QC Staff</t>
        </is>
      </c>
      <c r="E27" s="32" t="inlineStr">
        <is>
          <t>Production Planning</t>
        </is>
      </c>
      <c r="H27" s="32" t="inlineStr">
        <is>
          <t>Head of Human Resources</t>
        </is>
      </c>
    </row>
    <row r="28">
      <c r="C28" s="32" t="inlineStr">
        <is>
          <t>Chuyên viên SO</t>
        </is>
      </c>
      <c r="D28" s="32" t="inlineStr">
        <is>
          <t>Sales Order (SO) Specialist</t>
        </is>
      </c>
      <c r="E28" s="32" t="inlineStr">
        <is>
          <t>Partnerships, Advertising &amp; Events</t>
        </is>
      </c>
      <c r="H28" s="32" t="inlineStr">
        <is>
          <t>Head of Product &amp; Category Strategy</t>
        </is>
      </c>
    </row>
    <row r="29">
      <c r="C29" s="32" t="inlineStr">
        <is>
          <t>Nhân viên IT Admin</t>
        </is>
      </c>
      <c r="D29" s="32" t="inlineStr">
        <is>
          <t>IT Admin</t>
        </is>
      </c>
      <c r="E29" s="32" t="inlineStr">
        <is>
          <t>Sales Administration</t>
        </is>
      </c>
      <c r="H29" s="32" t="inlineStr">
        <is>
          <t>Head of Product Design</t>
        </is>
      </c>
    </row>
    <row r="30">
      <c r="C30" s="32" t="inlineStr">
        <is>
          <t>Sale Admin</t>
        </is>
      </c>
      <c r="D30" s="32" t="inlineStr">
        <is>
          <t>Sales Admin</t>
        </is>
      </c>
      <c r="E30" s="32" t="inlineStr">
        <is>
          <t>Design</t>
        </is>
      </c>
      <c r="H30" s="32" t="inlineStr">
        <is>
          <t>Livestream Host</t>
        </is>
      </c>
    </row>
    <row r="31">
      <c r="C31" s="32" t="inlineStr">
        <is>
          <t>CSKH</t>
        </is>
      </c>
      <c r="D31" s="32" t="inlineStr">
        <is>
          <t>Customer Service</t>
        </is>
      </c>
      <c r="E31" s="32" t="inlineStr">
        <is>
          <t>Football Category</t>
        </is>
      </c>
      <c r="H31" s="32" t="inlineStr">
        <is>
          <t>Accountant &amp; CEO Assistant</t>
        </is>
      </c>
    </row>
    <row r="32">
      <c r="C32" s="32" t="inlineStr">
        <is>
          <t>Nhân viên tuyển dụng</t>
        </is>
      </c>
      <c r="D32" s="32" t="inlineStr">
        <is>
          <t>Recruiter</t>
        </is>
      </c>
      <c r="E32" s="32" t="inlineStr">
        <is>
          <t>Pickleball Category</t>
        </is>
      </c>
      <c r="H32" s="32" t="inlineStr">
        <is>
          <t>Tax Accountant</t>
        </is>
      </c>
    </row>
    <row r="33">
      <c r="C33" s="32" t="inlineStr">
        <is>
          <t>TP.NSHC</t>
        </is>
      </c>
      <c r="D33" s="32" t="inlineStr">
        <is>
          <t>Head of HR &amp; Admin</t>
        </is>
      </c>
      <c r="E33" s="32" t="inlineStr">
        <is>
          <t>Volleyball Category</t>
        </is>
      </c>
      <c r="H33" s="32" t="inlineStr">
        <is>
          <t>General Accountant</t>
        </is>
      </c>
    </row>
    <row r="34">
      <c r="C34" s="32" t="inlineStr">
        <is>
          <t>Nhân sự tổng hợp</t>
        </is>
      </c>
      <c r="D34" s="32" t="inlineStr">
        <is>
          <t>HR Generalist</t>
        </is>
      </c>
      <c r="H34" s="32" t="inlineStr">
        <is>
          <t>Livestream Technical Operator</t>
        </is>
      </c>
    </row>
    <row r="35">
      <c r="C35" s="32" t="inlineStr">
        <is>
          <t>Trưởng nhóm hành chính</t>
        </is>
      </c>
      <c r="D35" s="32" t="inlineStr">
        <is>
          <t>Admin Team Leader</t>
        </is>
      </c>
      <c r="H35" s="32" t="inlineStr">
        <is>
          <t>Product Technician</t>
        </is>
      </c>
    </row>
    <row r="36">
      <c r="C36" s="32" t="inlineStr">
        <is>
          <t>Shipper</t>
        </is>
      </c>
      <c r="D36" s="32" t="inlineStr">
        <is>
          <t>Shipper</t>
        </is>
      </c>
      <c r="H36" s="32" t="inlineStr">
        <is>
          <t>Driver</t>
        </is>
      </c>
    </row>
    <row r="37">
      <c r="C37" s="32" t="inlineStr">
        <is>
          <t>Tổ trưởng lái xe</t>
        </is>
      </c>
      <c r="D37" s="32" t="inlineStr">
        <is>
          <t>Driver Team Leader</t>
        </is>
      </c>
      <c r="H37" s="32" t="inlineStr">
        <is>
          <t>Executive Driver</t>
        </is>
      </c>
    </row>
    <row r="38">
      <c r="C38" s="32" t="inlineStr">
        <is>
          <t>Nhân viên bảo vệ</t>
        </is>
      </c>
      <c r="D38" s="32" t="inlineStr">
        <is>
          <t>Security Guard</t>
        </is>
      </c>
      <c r="H38" s="32" t="inlineStr">
        <is>
          <t>Truck Driver</t>
        </is>
      </c>
    </row>
    <row r="39">
      <c r="C39" s="32" t="inlineStr">
        <is>
          <t>Trưởng nhóm kinh doanh miền bắc</t>
        </is>
      </c>
      <c r="D39" s="32" t="inlineStr">
        <is>
          <t>Sales Team Leader – North</t>
        </is>
      </c>
      <c r="H39" s="32" t="inlineStr">
        <is>
          <t>International Marketing Specialist</t>
        </is>
      </c>
    </row>
    <row r="40">
      <c r="C40" s="32" t="inlineStr">
        <is>
          <t>Nhân viên kinh doanh</t>
        </is>
      </c>
      <c r="D40" s="32" t="inlineStr">
        <is>
          <t>Sales Executive</t>
        </is>
      </c>
      <c r="H40" s="32" t="inlineStr">
        <is>
          <t>International Procurement Specialist</t>
        </is>
      </c>
    </row>
    <row r="41">
      <c r="C41" s="32" t="inlineStr">
        <is>
          <t>Mua hàng tiếng Trung</t>
        </is>
      </c>
      <c r="D41" s="32" t="inlineStr">
        <is>
          <t>Chinese-language Purchasing (China Sourcing)</t>
        </is>
      </c>
      <c r="H41" s="32" t="inlineStr">
        <is>
          <t>Chinese-speaking Procurement Specialist</t>
        </is>
      </c>
    </row>
    <row r="42">
      <c r="C42" s="32" t="inlineStr">
        <is>
          <t>Giám đốc sáng tạo</t>
        </is>
      </c>
      <c r="D42" s="32" t="inlineStr">
        <is>
          <t>Creative Director</t>
        </is>
      </c>
      <c r="H42" s="32" t="inlineStr">
        <is>
          <t>HR Generalist</t>
        </is>
      </c>
    </row>
    <row r="43">
      <c r="C43" s="32" t="inlineStr">
        <is>
          <t>Kỹ thuật sản phẩm</t>
        </is>
      </c>
      <c r="D43" s="32" t="inlineStr">
        <is>
          <t>Product Technician</t>
        </is>
      </c>
      <c r="H43" s="32" t="inlineStr">
        <is>
          <t>Retail Sales Associate</t>
        </is>
      </c>
    </row>
    <row r="44">
      <c r="C44" s="32" t="inlineStr">
        <is>
          <t>Phát triển sản phẩm</t>
        </is>
      </c>
      <c r="D44" s="32" t="inlineStr">
        <is>
          <t>Product Development</t>
        </is>
      </c>
      <c r="H44" s="32" t="inlineStr">
        <is>
          <t>Security Guard</t>
        </is>
      </c>
    </row>
    <row r="45">
      <c r="C45" s="32" t="inlineStr">
        <is>
          <t>Thiết kế thời trang</t>
        </is>
      </c>
      <c r="D45" s="32" t="inlineStr">
        <is>
          <t>Fashion Designer</t>
        </is>
      </c>
      <c r="H45" s="32" t="inlineStr">
        <is>
          <t>KOL/KOC Booking Specialist</t>
        </is>
      </c>
    </row>
    <row r="46">
      <c r="C46" s="32" t="inlineStr">
        <is>
          <t>Trưởng nhóm Sale admin</t>
        </is>
      </c>
      <c r="D46" s="32" t="inlineStr">
        <is>
          <t>Sales Admin Team Leader</t>
        </is>
      </c>
      <c r="H46" s="32" t="inlineStr">
        <is>
          <t>After-sales &amp; Warranty Specialist</t>
        </is>
      </c>
    </row>
    <row r="47">
      <c r="C47" s="32" t="inlineStr">
        <is>
          <t>Sales Admin</t>
        </is>
      </c>
      <c r="D47" s="32" t="inlineStr">
        <is>
          <t>Sales Admin</t>
        </is>
      </c>
      <c r="H47" s="32" t="inlineStr">
        <is>
          <t>E-commerce Specialist</t>
        </is>
      </c>
    </row>
    <row r="48">
      <c r="C48" s="32" t="inlineStr">
        <is>
          <t>Cửa hàng trưởng</t>
        </is>
      </c>
      <c r="D48" s="32" t="inlineStr">
        <is>
          <t>Store Manager</t>
        </is>
      </c>
      <c r="H48" s="32" t="inlineStr">
        <is>
          <t>Graphic Designer</t>
        </is>
      </c>
    </row>
    <row r="49">
      <c r="C49" s="32" t="inlineStr">
        <is>
          <t>Nhân viên bán hàng</t>
        </is>
      </c>
      <c r="D49" s="32" t="inlineStr">
        <is>
          <t>Sales Associate</t>
        </is>
      </c>
      <c r="H49" s="32" t="inlineStr">
        <is>
          <t>Printing &amp; Heat-Press Operator</t>
        </is>
      </c>
    </row>
    <row r="50">
      <c r="C50" s="32" t="inlineStr">
        <is>
          <t>Nhân viên bán lẻ</t>
        </is>
      </c>
      <c r="D50" s="32" t="inlineStr">
        <is>
          <t>Retail Associate</t>
        </is>
      </c>
      <c r="H50" s="32" t="inlineStr">
        <is>
          <t>IT Administrator</t>
        </is>
      </c>
    </row>
    <row r="51">
      <c r="C51" s="32" t="inlineStr">
        <is>
          <t>Giám đốc kinh doanh B2B</t>
        </is>
      </c>
      <c r="D51" s="32" t="inlineStr">
        <is>
          <t>B2B Sales Director</t>
        </is>
      </c>
      <c r="H51" s="32" t="inlineStr">
        <is>
          <t>IT Helpdesk Specialist</t>
        </is>
      </c>
    </row>
    <row r="52">
      <c r="C52" s="32" t="inlineStr">
        <is>
          <t>NVKD dự án</t>
        </is>
      </c>
      <c r="D52" s="32" t="inlineStr">
        <is>
          <t>Project Sales Executive</t>
        </is>
      </c>
      <c r="H52" s="32" t="inlineStr">
        <is>
          <t>Accountant</t>
        </is>
      </c>
    </row>
    <row r="53">
      <c r="C53" s="32" t="inlineStr">
        <is>
          <t>Nhân viên lái xe</t>
        </is>
      </c>
      <c r="D53" s="32" t="inlineStr">
        <is>
          <t>Driver</t>
        </is>
      </c>
      <c r="H53" s="32" t="inlineStr">
        <is>
          <t>E-commerce Marketplace Accountant</t>
        </is>
      </c>
    </row>
    <row r="54">
      <c r="C54" s="32" t="inlineStr">
        <is>
          <t>Nhân viên Phát triển Cộng đồng</t>
        </is>
      </c>
      <c r="D54" s="32" t="inlineStr">
        <is>
          <t>Community Development Executive</t>
        </is>
      </c>
      <c r="H54" s="32" t="inlineStr">
        <is>
          <t>Warehouse Associate</t>
        </is>
      </c>
    </row>
    <row r="55">
      <c r="C55" s="32" t="inlineStr">
        <is>
          <t>Trưởng nhóm Graphic Design</t>
        </is>
      </c>
      <c r="D55" s="32" t="inlineStr">
        <is>
          <t>Graphic Design Team Leader</t>
        </is>
      </c>
      <c r="H55" s="32" t="inlineStr">
        <is>
          <t>Sales Executive</t>
        </is>
      </c>
    </row>
    <row r="56">
      <c r="C56" s="32" t="inlineStr">
        <is>
          <t>Trưởng nhóm kinh doanh miền nam</t>
        </is>
      </c>
      <c r="D56" s="32" t="inlineStr">
        <is>
          <t>Sales Team Leader – South</t>
        </is>
      </c>
      <c r="H56" s="32" t="inlineStr">
        <is>
          <t>Project Sales Executive</t>
        </is>
      </c>
    </row>
    <row r="57">
      <c r="C57" s="32" t="inlineStr">
        <is>
          <t>Nhân viên CSKH</t>
        </is>
      </c>
      <c r="D57" s="32" t="inlineStr">
        <is>
          <t>Customer Service Executive</t>
        </is>
      </c>
      <c r="H57" s="32" t="inlineStr">
        <is>
          <t>Full-stack Developer</t>
        </is>
      </c>
    </row>
    <row r="58">
      <c r="C58" s="32" t="inlineStr">
        <is>
          <t>ASM bán lẻ</t>
        </is>
      </c>
      <c r="D58" s="32" t="inlineStr">
        <is>
          <t>Retail Area Sales Manager (ASM)</t>
        </is>
      </c>
      <c r="H58" s="32" t="inlineStr">
        <is>
          <t>Merchandiser</t>
        </is>
      </c>
    </row>
    <row r="59">
      <c r="C59" s="32" t="inlineStr">
        <is>
          <t>Content Creator</t>
        </is>
      </c>
      <c r="D59" s="32" t="inlineStr">
        <is>
          <t>Content Creator</t>
        </is>
      </c>
      <c r="H59" s="32" t="inlineStr">
        <is>
          <t>Procurement &amp; Administration Associate</t>
        </is>
      </c>
    </row>
    <row r="60">
      <c r="C60" s="32" t="inlineStr">
        <is>
          <t>Nhân viên Ecommerce</t>
        </is>
      </c>
      <c r="D60" s="32" t="inlineStr">
        <is>
          <t>E-commerce Executive</t>
        </is>
      </c>
      <c r="H60" s="32" t="inlineStr">
        <is>
          <t>Community Development Specialist</t>
        </is>
      </c>
    </row>
    <row r="61">
      <c r="C61" s="32" t="inlineStr">
        <is>
          <t>Digital Performance Executive</t>
        </is>
      </c>
      <c r="D61" s="32" t="inlineStr">
        <is>
          <t>Digital Performance Executive</t>
        </is>
      </c>
      <c r="H61" s="32" t="inlineStr">
        <is>
          <t>International Market Development Specialist</t>
        </is>
      </c>
    </row>
    <row r="62">
      <c r="C62" s="32" t="inlineStr">
        <is>
          <t>Host Livestream</t>
        </is>
      </c>
      <c r="D62" s="32" t="inlineStr">
        <is>
          <t>Livestream Host</t>
        </is>
      </c>
      <c r="H62" s="32" t="inlineStr">
        <is>
          <t>Photographer</t>
        </is>
      </c>
    </row>
    <row r="63">
      <c r="C63" s="32" t="inlineStr">
        <is>
          <t>Kỹ thuật Livestream</t>
        </is>
      </c>
      <c r="D63" s="32" t="inlineStr">
        <is>
          <t>Livestream Technician</t>
        </is>
      </c>
      <c r="H63" s="32" t="inlineStr">
        <is>
          <t>PR, Sponsorship &amp; Events Specialist</t>
        </is>
      </c>
    </row>
    <row r="64">
      <c r="C64" s="32" t="inlineStr">
        <is>
          <t>Quản lý Sàn Thương Mại Điện Tử</t>
        </is>
      </c>
      <c r="D64" s="32" t="inlineStr">
        <is>
          <t>E-commerce Marketplace Manager</t>
        </is>
      </c>
      <c r="H64" s="32" t="inlineStr">
        <is>
          <t>Sponsorship &amp; Events Specialist</t>
        </is>
      </c>
    </row>
    <row r="65">
      <c r="C65" s="32" t="inlineStr">
        <is>
          <t>Trưởng nhóm Chăm sóc khách hàng</t>
        </is>
      </c>
      <c r="D65" s="32" t="inlineStr">
        <is>
          <t>Customer Service Team Leader</t>
        </is>
      </c>
      <c r="H65" s="32" t="inlineStr">
        <is>
          <t>PR &amp; Communications Specialist</t>
        </is>
      </c>
    </row>
    <row r="66">
      <c r="C66" s="32" t="inlineStr">
        <is>
          <t>Nhân viên Booking KOL/KOC</t>
        </is>
      </c>
      <c r="D66" s="32" t="inlineStr">
        <is>
          <t>KOL/KOC Booking Executive</t>
        </is>
      </c>
      <c r="H66" s="32" t="inlineStr">
        <is>
          <t>PR &amp; Events Specialist</t>
        </is>
      </c>
    </row>
    <row r="67">
      <c r="C67" s="32" t="inlineStr">
        <is>
          <t>Nhân viên Trợ lý Livestream</t>
        </is>
      </c>
      <c r="D67" s="32" t="inlineStr">
        <is>
          <t>Livestream Assistant</t>
        </is>
      </c>
      <c r="H67" s="32" t="inlineStr">
        <is>
          <t>Producer</t>
        </is>
      </c>
    </row>
    <row r="68">
      <c r="C68" s="32" t="inlineStr">
        <is>
          <t>Nhân viên Trade Marketing</t>
        </is>
      </c>
      <c r="D68" s="32" t="inlineStr">
        <is>
          <t>Trade Marketing Executive</t>
        </is>
      </c>
      <c r="H68" s="32" t="inlineStr">
        <is>
          <t>Quality Control Associate</t>
        </is>
      </c>
    </row>
    <row r="69">
      <c r="C69" s="32" t="inlineStr">
        <is>
          <t>Nhân viên Host Livestream</t>
        </is>
      </c>
      <c r="D69" s="32" t="inlineStr">
        <is>
          <t>Livestream Host</t>
        </is>
      </c>
      <c r="H69" s="32" t="inlineStr">
        <is>
          <t>Social Video Producer &amp; Editor</t>
        </is>
      </c>
    </row>
    <row r="70">
      <c r="C70" s="32" t="inlineStr">
        <is>
          <t>Nhân viên Kế toán sàn</t>
        </is>
      </c>
      <c r="D70" s="32" t="inlineStr">
        <is>
          <t>Marketplace Accountant</t>
        </is>
      </c>
      <c r="H70" s="32" t="inlineStr">
        <is>
          <t>Sales Administrator</t>
        </is>
      </c>
    </row>
    <row r="71">
      <c r="C71" s="32" t="inlineStr">
        <is>
          <t>Omnichannel Manager</t>
        </is>
      </c>
      <c r="D71" s="32" t="inlineStr">
        <is>
          <t>Omnichannel Manager</t>
        </is>
      </c>
      <c r="H71" s="32" t="inlineStr">
        <is>
          <t>Designer</t>
        </is>
      </c>
    </row>
    <row r="72">
      <c r="C72" s="32" t="inlineStr">
        <is>
          <t>Nhân viên Vận hành Livestream</t>
        </is>
      </c>
      <c r="D72" s="32" t="inlineStr">
        <is>
          <t>Livestream Operations Executive</t>
        </is>
      </c>
      <c r="H72" s="32" t="inlineStr">
        <is>
          <t>Trade Marketing Specialist</t>
        </is>
      </c>
    </row>
    <row r="73">
      <c r="C73" s="32" t="inlineStr">
        <is>
          <t>Trưởng nhóm vận hành &amp; trải nghiệm khách hàng</t>
        </is>
      </c>
      <c r="D73" s="32" t="inlineStr">
        <is>
          <t>Operations &amp; Customer Experience Team Leader</t>
        </is>
      </c>
      <c r="H73" s="32" t="inlineStr">
        <is>
          <t>Livestream Assistant</t>
        </is>
      </c>
    </row>
    <row r="74">
      <c r="C74" s="32" t="inlineStr">
        <is>
          <t>Chuyên viên Tăng trưởng và vận hành sàn TMĐT</t>
        </is>
      </c>
      <c r="D74" s="32" t="inlineStr">
        <is>
          <t>E-commerce Growth &amp; Marketplace Operations Specialist</t>
        </is>
      </c>
      <c r="H74" s="32" t="inlineStr">
        <is>
          <t>Online Consultant &amp; Customer Service Specialist</t>
        </is>
      </c>
    </row>
    <row r="75">
      <c r="C75" s="32" t="inlineStr">
        <is>
          <t>Nhân viên Kinh doanh dự án</t>
        </is>
      </c>
      <c r="D75" s="32" t="inlineStr">
        <is>
          <t>Project Sales Executive</t>
        </is>
      </c>
      <c r="H75" s="32" t="inlineStr">
        <is>
          <t>Recruitment Specialist</t>
        </is>
      </c>
    </row>
    <row r="76">
      <c r="C76" s="32" t="inlineStr">
        <is>
          <t>Nhân viên tư vấn trực tuyến và CSKH</t>
        </is>
      </c>
      <c r="D76" s="32" t="inlineStr">
        <is>
          <t>Online Sales Consultant &amp; Customer Service Executive</t>
        </is>
      </c>
      <c r="H76" s="32" t="inlineStr">
        <is>
          <t>Livestream Operations Associate</t>
        </is>
      </c>
    </row>
    <row r="77">
      <c r="C77" s="32" t="inlineStr">
        <is>
          <t>Chuyên viên tăng trưởng Affiliate</t>
        </is>
      </c>
      <c r="D77" s="32" t="inlineStr">
        <is>
          <t>Affiliate Growth Specialist</t>
        </is>
      </c>
      <c r="H77" s="32" t="inlineStr">
        <is>
          <t>Omnichannel Manager</t>
        </is>
      </c>
    </row>
    <row r="78">
      <c r="C78" s="32" t="inlineStr">
        <is>
          <t>Chuyên viên Tăng trưởng và trải nghiệm khách hàng</t>
        </is>
      </c>
      <c r="D78" s="32" t="inlineStr">
        <is>
          <t>Growth &amp; Customer Experience Specialist</t>
        </is>
      </c>
      <c r="H78" s="32" t="inlineStr">
        <is>
          <t>Product Development Specialist</t>
        </is>
      </c>
    </row>
    <row r="79">
      <c r="C79" s="32" t="inlineStr">
        <is>
          <t>Content</t>
        </is>
      </c>
      <c r="D79" s="32" t="inlineStr">
        <is>
          <t>Content</t>
        </is>
      </c>
      <c r="H79" s="32" t="inlineStr">
        <is>
          <t>Deputy Director</t>
        </is>
      </c>
    </row>
    <row r="80">
      <c r="C80" s="32" t="inlineStr">
        <is>
          <t>Nhân viên content</t>
        </is>
      </c>
      <c r="D80" s="32" t="inlineStr">
        <is>
          <t>Content Executive</t>
        </is>
      </c>
      <c r="H80" s="32" t="inlineStr">
        <is>
          <t>PR Specialist &amp; Chairman’s Assistant</t>
        </is>
      </c>
    </row>
    <row r="81">
      <c r="C81" s="32" t="inlineStr">
        <is>
          <t>Nhân viên Sales admin</t>
        </is>
      </c>
      <c r="D81" s="32" t="inlineStr">
        <is>
          <t>Sales Admin Executive</t>
        </is>
      </c>
      <c r="H81" s="32" t="inlineStr">
        <is>
          <t>QA/QC Team Leader</t>
        </is>
      </c>
    </row>
    <row r="82">
      <c r="C82" s="32" t="inlineStr">
        <is>
          <t>Nhân viên Quay dựng Social</t>
        </is>
      </c>
      <c r="D82" s="32" t="inlineStr">
        <is>
          <t>Social Video Producer / Editor</t>
        </is>
      </c>
      <c r="H82" s="32" t="inlineStr">
        <is>
          <t>Apparel Production Planning &amp; Manufacturing Manager</t>
        </is>
      </c>
    </row>
    <row r="83">
      <c r="C83" s="32" t="inlineStr">
        <is>
          <t>Content Creator Ecom</t>
        </is>
      </c>
      <c r="D83" s="32" t="inlineStr">
        <is>
          <t>E-commerce Content Creator</t>
        </is>
      </c>
      <c r="H83" s="32" t="inlineStr">
        <is>
          <t>E-commerce Marketplace Manager</t>
        </is>
      </c>
    </row>
    <row r="84">
      <c r="C84" s="32" t="inlineStr">
        <is>
          <t>Nhân viên Content Creator</t>
        </is>
      </c>
      <c r="D84" s="32" t="inlineStr">
        <is>
          <t>Content Creator</t>
        </is>
      </c>
      <c r="H84" s="32" t="inlineStr">
        <is>
          <t>Delivery Courier</t>
        </is>
      </c>
    </row>
    <row r="85">
      <c r="C85" s="32" t="inlineStr">
        <is>
          <t>Nhân viên PR truyền thông</t>
        </is>
      </c>
      <c r="D85" s="32" t="inlineStr">
        <is>
          <t>PR &amp; Communications Executive</t>
        </is>
      </c>
      <c r="H85" s="32" t="inlineStr">
        <is>
          <t>Warehouse Delivery Courier</t>
        </is>
      </c>
    </row>
    <row r="86">
      <c r="C86" s="32" t="inlineStr">
        <is>
          <t>PR kiêm trợ lý chủ tịch</t>
        </is>
      </c>
      <c r="D86" s="32" t="inlineStr">
        <is>
          <t>PR &amp; Executive Assistant to the Chairman</t>
        </is>
      </c>
      <c r="H86" s="32" t="inlineStr">
        <is>
          <t>Fashion Designer</t>
        </is>
      </c>
    </row>
    <row r="87">
      <c r="C87" s="32" t="inlineStr">
        <is>
          <t>Nhân viên tài trợ &amp; sự kiện</t>
        </is>
      </c>
      <c r="D87" s="32" t="inlineStr">
        <is>
          <t>Sponsorship &amp; Events Executive</t>
        </is>
      </c>
      <c r="H87" s="32" t="inlineStr">
        <is>
          <t>Category Lead</t>
        </is>
      </c>
    </row>
    <row r="88">
      <c r="C88" s="32" t="inlineStr">
        <is>
          <t>Nhân viên Photographer</t>
        </is>
      </c>
      <c r="D88" s="32" t="inlineStr">
        <is>
          <t>Photographer</t>
        </is>
      </c>
      <c r="H88" s="32" t="inlineStr">
        <is>
          <t>Table Tennis Category Lead</t>
        </is>
      </c>
    </row>
    <row r="89">
      <c r="C89" s="32" t="inlineStr">
        <is>
          <t>Trợ lý kho</t>
        </is>
      </c>
      <c r="D89" s="32" t="inlineStr">
        <is>
          <t>Warehouse Assistant</t>
        </is>
      </c>
      <c r="H89" s="32" t="inlineStr">
        <is>
          <t>Volleyball Category Lead</t>
        </is>
      </c>
    </row>
    <row r="90">
      <c r="C90" s="32" t="inlineStr">
        <is>
          <t>Điều phối kho</t>
        </is>
      </c>
      <c r="D90" s="32" t="inlineStr">
        <is>
          <t>Warehouse Coordinator</t>
        </is>
      </c>
      <c r="H90" s="32" t="inlineStr">
        <is>
          <t>Driver Team Leader</t>
        </is>
      </c>
    </row>
    <row r="91">
      <c r="C91" s="32" t="inlineStr">
        <is>
          <t>Lái xe tải</t>
        </is>
      </c>
      <c r="D91" s="32" t="inlineStr">
        <is>
          <t>Truck Driver</t>
        </is>
      </c>
      <c r="H91" s="32" t="inlineStr">
        <is>
          <t>Chief Executive Officer (CEO)</t>
        </is>
      </c>
    </row>
    <row r="92">
      <c r="C92" s="32" t="inlineStr">
        <is>
          <t>Shipper Kho</t>
        </is>
      </c>
      <c r="D92" s="32" t="inlineStr">
        <is>
          <t>Warehouse Shipper</t>
        </is>
      </c>
      <c r="H92" s="32" t="inlineStr">
        <is>
          <t>HR &amp; Administration Manager</t>
        </is>
      </c>
    </row>
    <row r="93">
      <c r="C93" s="32" t="inlineStr">
        <is>
          <t>Hành chính tổng hợp</t>
        </is>
      </c>
      <c r="D93" s="32" t="inlineStr">
        <is>
          <t>General Admin</t>
        </is>
      </c>
      <c r="H93" s="32" t="inlineStr">
        <is>
          <t>Warehouse Assistant</t>
        </is>
      </c>
    </row>
    <row r="94">
      <c r="C94" s="32" t="inlineStr">
        <is>
          <t>Lái xe Sếp</t>
        </is>
      </c>
      <c r="D94" s="32" t="inlineStr">
        <is>
          <t>Executive Driver</t>
        </is>
      </c>
      <c r="H94" s="32" t="inlineStr">
        <is>
          <t>Supply Chain Team Lead</t>
        </is>
      </c>
    </row>
    <row r="95">
      <c r="C95" s="32" t="inlineStr">
        <is>
          <t>Chuyên viên phân tích dữ liệu (BI)</t>
        </is>
      </c>
      <c r="D95" s="32" t="inlineStr">
        <is>
          <t>Business Intelligence (BI) Data Analyst</t>
        </is>
      </c>
      <c r="H95" s="32" t="inlineStr">
        <is>
          <t>Warehouse Team Lead</t>
        </is>
      </c>
    </row>
    <row r="96">
      <c r="C96" s="32" t="inlineStr">
        <is>
          <t>Trưởng nhóm</t>
        </is>
      </c>
      <c r="D96" s="32" t="inlineStr">
        <is>
          <t>Team Leader</t>
        </is>
      </c>
      <c r="H96" s="32" t="inlineStr">
        <is>
          <t>Marketing Team Lead</t>
        </is>
      </c>
    </row>
    <row r="97">
      <c r="C97" s="32" t="inlineStr">
        <is>
          <t>Nhân viên Lập trình Fullstack</t>
        </is>
      </c>
      <c r="D97" s="32" t="inlineStr">
        <is>
          <t>Full-stack Developer</t>
        </is>
      </c>
      <c r="H97" s="32" t="inlineStr">
        <is>
          <t>Team Leader</t>
        </is>
      </c>
    </row>
    <row r="98">
      <c r="C98" s="32" t="inlineStr">
        <is>
          <t>Nhân viên IT Helpdesk</t>
        </is>
      </c>
      <c r="D98" s="32" t="inlineStr">
        <is>
          <t>IT Helpdesk Staff</t>
        </is>
      </c>
      <c r="H98" s="32" t="inlineStr">
        <is>
          <t>Customer Service Team Leader</t>
        </is>
      </c>
    </row>
    <row r="99">
      <c r="C99" s="32" t="inlineStr">
        <is>
          <t>QA/QC Leader</t>
        </is>
      </c>
      <c r="D99" s="32" t="inlineStr">
        <is>
          <t>QA/QC Leader</t>
        </is>
      </c>
      <c r="H99" s="32" t="inlineStr">
        <is>
          <t>Graphic Design Team Leader</t>
        </is>
      </c>
    </row>
    <row r="100">
      <c r="C100" s="32" t="inlineStr">
        <is>
          <t>Nhân viên Producer</t>
        </is>
      </c>
      <c r="D100" s="32" t="inlineStr">
        <is>
          <t>Producer</t>
        </is>
      </c>
      <c r="H100" s="32" t="inlineStr">
        <is>
          <t>Administration Team Leader</t>
        </is>
      </c>
    </row>
    <row r="101">
      <c r="C101" s="32" t="inlineStr">
        <is>
          <t>Chuyên viên điều phối đa kênh</t>
        </is>
      </c>
      <c r="D101" s="32" t="inlineStr">
        <is>
          <t>Omnichannel Coordination Specialist</t>
        </is>
      </c>
      <c r="H101" s="32" t="inlineStr">
        <is>
          <t>Northern Regional Sales Team Leader</t>
        </is>
      </c>
    </row>
    <row r="102">
      <c r="C102" s="32" t="inlineStr">
        <is>
          <t>Nhân viên PR tài trợ và sự kiện</t>
        </is>
      </c>
      <c r="D102" s="32" t="inlineStr">
        <is>
          <t>PR, Sponsorship &amp; Events Executive</t>
        </is>
      </c>
      <c r="H102" s="32" t="inlineStr">
        <is>
          <t>Southern Regional Sales Team Leader</t>
        </is>
      </c>
    </row>
    <row r="103">
      <c r="C103" s="32" t="inlineStr">
        <is>
          <t>Chuyên viên Đào tạo và Phát triển nguồn lực</t>
        </is>
      </c>
      <c r="D103" s="32" t="inlineStr">
        <is>
          <t>Training &amp; Talent Development Specialist</t>
        </is>
      </c>
      <c r="H103" s="32" t="inlineStr">
        <is>
          <t>Sales Administration Team Leader</t>
        </is>
      </c>
    </row>
    <row r="104">
      <c r="C104" s="32" t="inlineStr">
        <is>
          <t>Trưởng bộ phận Marketing</t>
        </is>
      </c>
      <c r="D104" s="32" t="inlineStr">
        <is>
          <t>Head of Marketing</t>
        </is>
      </c>
      <c r="H104" s="32" t="inlineStr">
        <is>
          <t>Customer Operations &amp; Experience Team Leader</t>
        </is>
      </c>
    </row>
    <row r="105">
      <c r="C105" s="32" t="inlineStr">
        <is>
          <t>Nhân viên tư vấn trực tuyến &amp; CSKH</t>
        </is>
      </c>
      <c r="D105" s="32" t="inlineStr">
        <is>
          <t>Online Sales Consultant &amp; Customer Service Executive</t>
        </is>
      </c>
      <c r="H105" s="32" t="inlineStr">
        <is>
          <t>Finance &amp; Accounting Manager</t>
        </is>
      </c>
    </row>
    <row r="106">
      <c r="C106" s="32" t="inlineStr">
        <is>
          <t>Nhân viên Sale Admin</t>
        </is>
      </c>
      <c r="D106" s="32" t="inlineStr">
        <is>
          <t>Sales Admin Executive</t>
        </is>
      </c>
    </row>
    <row r="107">
      <c r="C107" s="32" t="inlineStr">
        <is>
          <t>Nhân viên chăm sóc Hậu mãi &amp; Bảo hành</t>
        </is>
      </c>
      <c r="D107" s="32" t="inlineStr">
        <is>
          <t>After-sales &amp; Warranty Care Executive</t>
        </is>
      </c>
    </row>
    <row r="108">
      <c r="C108" s="32" t="inlineStr">
        <is>
          <t>Head of HR</t>
        </is>
      </c>
      <c r="D108" s="32" t="inlineStr">
        <is>
          <t>Head of HR</t>
        </is>
      </c>
    </row>
    <row r="109">
      <c r="C109" s="32" t="inlineStr">
        <is>
          <t>Marketing international</t>
        </is>
      </c>
      <c r="D109" s="32" t="inlineStr">
        <is>
          <t>International Marketing</t>
        </is>
      </c>
    </row>
    <row r="110">
      <c r="C110" s="32" t="inlineStr">
        <is>
          <t>Head of Product Design</t>
        </is>
      </c>
      <c r="D110" s="32" t="inlineStr">
        <is>
          <t>Head of Product Design</t>
        </is>
      </c>
    </row>
    <row r="111">
      <c r="C111" s="32" t="inlineStr">
        <is>
          <t>Quản lý Kế hoạch và sản xuất may mặc</t>
        </is>
      </c>
      <c r="D111" s="32" t="inlineStr">
        <is>
          <t>Garment Planning &amp; Production Manager</t>
        </is>
      </c>
    </row>
    <row r="112">
      <c r="C112" s="32" t="inlineStr">
        <is>
          <t>Creative Lead</t>
        </is>
      </c>
      <c r="D112" s="32" t="inlineStr">
        <is>
          <t>Creative Lead</t>
        </is>
      </c>
    </row>
    <row r="113">
      <c r="C113" s="32" t="inlineStr">
        <is>
          <t>Footwear Product Development Manager</t>
        </is>
      </c>
      <c r="D113" s="32" t="inlineStr">
        <is>
          <t>Footwear Product Development Manager</t>
        </is>
      </c>
    </row>
    <row r="114">
      <c r="C114" s="32" t="inlineStr">
        <is>
          <t>TNH</t>
        </is>
      </c>
      <c r="D114" s="32" t="inlineStr">
        <is>
          <t>Category Manager</t>
        </is>
      </c>
    </row>
    <row r="115">
      <c r="C115" s="32" t="inlineStr">
        <is>
          <t>Kế toán kiêm TL TGĐ</t>
        </is>
      </c>
      <c r="D115" s="32" t="inlineStr">
        <is>
          <t>Accountant &amp; Assistant to the CEO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B094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form_key</t>
        </is>
      </c>
      <c r="B1" t="inlineStr">
        <is>
          <t>hr_employee_onboarding</t>
        </is>
      </c>
    </row>
    <row r="2">
      <c r="A2" t="inlineStr">
        <is>
          <t>form_version</t>
        </is>
      </c>
      <c r="B2" t="inlineStr">
        <is>
          <t>1.0.0</t>
        </is>
      </c>
    </row>
    <row r="3">
      <c r="A3" t="inlineStr">
        <is>
          <t>generated_on</t>
        </is>
      </c>
      <c r="B3" t="inlineStr">
        <is>
          <t>2026-10-24</t>
        </is>
      </c>
    </row>
    <row r="4">
      <c r="A4" t="inlineStr">
        <is>
          <t>profile_table</t>
        </is>
      </c>
      <c r="B4" t="inlineStr">
        <is>
          <t>tbl_hr_employee_profile</t>
        </is>
      </c>
    </row>
    <row r="5">
      <c r="A5" t="inlineStr">
        <is>
          <t>assignment_table</t>
        </is>
      </c>
      <c r="B5" t="inlineStr">
        <is>
          <t>tbl_hr_employment_assignment</t>
        </is>
      </c>
    </row>
    <row r="6">
      <c r="A6" t="inlineStr">
        <is>
          <t>profile_business_key</t>
        </is>
      </c>
      <c r="B6" t="inlineStr">
        <is>
          <t>Mã nhân viên</t>
        </is>
      </c>
    </row>
    <row r="7">
      <c r="A7" t="inlineStr">
        <is>
          <t>assignment_business_key</t>
        </is>
      </c>
      <c r="B7" t="inlineStr">
        <is>
          <t>Mã nhân viên</t>
        </is>
      </c>
    </row>
    <row r="8">
      <c r="A8" t="inlineStr">
        <is>
          <t>status_formula</t>
        </is>
      </c>
      <c r="B8" t="inlineStr">
        <is>
          <t>HỢP LỆ / LỖI / CHƯA NHẬP</t>
        </is>
      </c>
    </row>
    <row r="9">
      <c r="A9" t="inlineStr">
        <is>
          <t>pipeline_contract</t>
        </is>
      </c>
      <c r="B9" t="inlineStr">
        <is>
          <t>Read Excel Tables by stable table name; ignore rows with blank Mã nhân viên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2026-10-24T23:56:09Z</dcterms:created>
  <dcterms:modified xsi:type="dcterms:W3CDTF">2026-10-24T23:56:10Z</dcterms:modified>
</cp:coreProperties>
</file>